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B\4nd - DAB\Financial analytics\Project\"/>
    </mc:Choice>
  </mc:AlternateContent>
  <xr:revisionPtr revIDLastSave="0" documentId="13_ncr:1_{2AF68696-F3F4-4175-9203-2D9AFF1E69EA}" xr6:coauthVersionLast="36" xr6:coauthVersionMax="36" xr10:uidLastSave="{00000000-0000-0000-0000-000000000000}"/>
  <bookViews>
    <workbookView xWindow="0" yWindow="0" windowWidth="19200" windowHeight="7375" activeTab="2" xr2:uid="{00000000-000D-0000-FFFF-FFFF00000000}"/>
  </bookViews>
  <sheets>
    <sheet name="Apple_FCF_FY2025" sheetId="1" r:id="rId1"/>
    <sheet name="Financial_Statements" sheetId="2" r:id="rId2"/>
    <sheet name="Financials-2025-Clean" sheetId="3" r:id="rId3"/>
  </sheets>
  <calcPr calcId="191029"/>
</workbook>
</file>

<file path=xl/calcChain.xml><?xml version="1.0" encoding="utf-8"?>
<calcChain xmlns="http://schemas.openxmlformats.org/spreadsheetml/2006/main">
  <c r="B18" i="3" l="1"/>
  <c r="J16" i="3" a="1"/>
  <c r="J16" i="3" s="1"/>
  <c r="B17" i="3" a="1"/>
  <c r="B17" i="3" s="1"/>
  <c r="B15" i="3" a="1"/>
  <c r="B15" i="3" s="1"/>
  <c r="B13" i="3" a="1"/>
  <c r="B13" i="3" s="1"/>
  <c r="J12" i="3" a="1"/>
  <c r="J12" i="3" s="1"/>
  <c r="J11" i="3"/>
  <c r="J9" i="3" a="1"/>
  <c r="J9" i="3"/>
  <c r="J8" i="3"/>
  <c r="B8" i="3"/>
  <c r="B7" i="3" a="1"/>
  <c r="B7" i="3" s="1"/>
  <c r="F7" i="3" s="1"/>
  <c r="D82" i="2"/>
  <c r="C82" i="2"/>
  <c r="B21" i="3" s="1" a="1"/>
  <c r="B21" i="3" s="1"/>
  <c r="J7" i="3" s="1" a="1"/>
  <c r="J7" i="3" s="1"/>
  <c r="C77" i="2"/>
  <c r="C79" i="2" s="1"/>
  <c r="D75" i="2"/>
  <c r="C75" i="2"/>
  <c r="D67" i="2"/>
  <c r="C67" i="2"/>
  <c r="D61" i="2"/>
  <c r="D77" i="2" s="1"/>
  <c r="D79" i="2" s="1"/>
  <c r="C61" i="2"/>
  <c r="D48" i="2"/>
  <c r="C48" i="2"/>
  <c r="D43" i="2"/>
  <c r="C43" i="2"/>
  <c r="D40" i="2"/>
  <c r="D44" i="2" s="1"/>
  <c r="D49" i="2" s="1"/>
  <c r="C40" i="2"/>
  <c r="C44" i="2" s="1"/>
  <c r="D33" i="2"/>
  <c r="C33" i="2"/>
  <c r="B11" i="3" s="1" a="1"/>
  <c r="B11" i="3" s="1"/>
  <c r="D32" i="2"/>
  <c r="C32" i="2"/>
  <c r="D28" i="2"/>
  <c r="C28" i="2"/>
  <c r="B14" i="3" s="1" a="1"/>
  <c r="B14" i="3" s="1"/>
  <c r="C14" i="2"/>
  <c r="B9" i="3" s="1" a="1"/>
  <c r="B9" i="3" s="1"/>
  <c r="D13" i="2"/>
  <c r="D14" i="2" s="1"/>
  <c r="D16" i="2" s="1"/>
  <c r="D18" i="2" s="1"/>
  <c r="C13" i="2"/>
  <c r="D10" i="2"/>
  <c r="C10" i="2"/>
  <c r="C20" i="1"/>
  <c r="C27" i="1" s="1"/>
  <c r="F8" i="3" l="1"/>
  <c r="B12" i="3" a="1"/>
  <c r="B12" i="3" s="1"/>
  <c r="F18" i="3" s="1"/>
  <c r="C49" i="2"/>
  <c r="C16" i="2"/>
  <c r="J13" i="3"/>
  <c r="B16" i="3" a="1"/>
  <c r="B16" i="3" s="1"/>
  <c r="F15" i="3" s="1"/>
  <c r="J10" i="3" l="1"/>
  <c r="J14" i="3" s="1"/>
  <c r="J15" i="3" s="1"/>
  <c r="J17" i="3" s="1"/>
  <c r="C18" i="2"/>
  <c r="B10" i="3" s="1" a="1"/>
  <c r="B10" i="3" s="1"/>
  <c r="F13" i="3"/>
  <c r="F14" i="3"/>
  <c r="F12" i="3" l="1"/>
  <c r="F16" i="3" s="1"/>
  <c r="F10" i="3"/>
  <c r="F9" i="3"/>
  <c r="F11" i="3"/>
  <c r="F17" i="3"/>
  <c r="F1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8" authorId="0" shapeId="0" xr:uid="{00000000-0006-0000-0000-000001000000}">
      <text>
        <r>
          <rPr>
            <sz val="9"/>
            <color rgb="FF000000"/>
            <rFont val="Arial"/>
            <family val="2"/>
          </rPr>
          <t>Apple 10-K FY2025 | Page - | $112,010</t>
        </r>
      </text>
    </comment>
    <comment ref="C9" authorId="0" shapeId="0" xr:uid="{00000000-0006-0000-0000-000002000000}">
      <text>
        <r>
          <rPr>
            <sz val="9"/>
            <color rgb="FF000000"/>
            <rFont val="Arial"/>
            <family val="2"/>
          </rPr>
          <t>Apple 10-K FY2025 | Page - | $11,698</t>
        </r>
      </text>
    </comment>
    <comment ref="C10" authorId="0" shapeId="0" xr:uid="{00000000-0006-0000-0000-000003000000}">
      <text>
        <r>
          <rPr>
            <sz val="9"/>
            <color rgb="FF000000"/>
            <rFont val="Arial"/>
            <family val="2"/>
          </rPr>
          <t>Apple 10-K FY2025 | Page - | $12,863</t>
        </r>
      </text>
    </comment>
    <comment ref="C20" authorId="0" shapeId="0" xr:uid="{00000000-0006-0000-0000-000004000000}">
      <text>
        <r>
          <rPr>
            <sz val="9"/>
            <color rgb="FF000000"/>
            <rFont val="Arial"/>
            <family val="2"/>
          </rPr>
          <t>Apple 10-K FY2025 | Page - | $111,482</t>
        </r>
      </text>
    </comment>
    <comment ref="C23" authorId="0" shapeId="0" xr:uid="{00000000-0006-0000-0000-000005000000}">
      <text>
        <r>
          <rPr>
            <sz val="9"/>
            <color rgb="FF000000"/>
            <rFont val="Arial"/>
            <family val="2"/>
          </rPr>
          <t>Apple 10-K FY2025 | Page - | $12,715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8" authorId="0" shapeId="0" xr:uid="{00000000-0006-0000-0100-000001000000}">
      <text>
        <r>
          <rPr>
            <sz val="9"/>
            <color rgb="FF000000"/>
            <rFont val="Arial"/>
            <family val="2"/>
          </rPr>
          <t>Apple 10-K FY2025 | Page - | $416,161</t>
        </r>
      </text>
    </comment>
    <comment ref="C10" authorId="0" shapeId="0" xr:uid="{00000000-0006-0000-0100-000002000000}">
      <text>
        <r>
          <rPr>
            <sz val="9"/>
            <color rgb="FF000000"/>
            <rFont val="Arial"/>
            <family val="2"/>
          </rPr>
          <t>Apple 10-K FY2025 | Page - | $195,201</t>
        </r>
      </text>
    </comment>
    <comment ref="C14" authorId="0" shapeId="0" xr:uid="{00000000-0006-0000-0100-000003000000}">
      <text>
        <r>
          <rPr>
            <sz val="9"/>
            <color rgb="FF000000"/>
            <rFont val="Arial"/>
            <family val="2"/>
          </rPr>
          <t>Apple 10-K FY2025 | Page - | $133,050</t>
        </r>
      </text>
    </comment>
    <comment ref="C18" authorId="0" shapeId="0" xr:uid="{00000000-0006-0000-0100-000004000000}">
      <text>
        <r>
          <rPr>
            <sz val="9"/>
            <color rgb="FF000000"/>
            <rFont val="Arial"/>
            <family val="2"/>
          </rPr>
          <t>Apple 10-K FY2025 | Page - | $112,010</t>
        </r>
      </text>
    </comment>
    <comment ref="C28" authorId="0" shapeId="0" xr:uid="{00000000-0006-0000-0100-000005000000}">
      <text>
        <r>
          <rPr>
            <sz val="9"/>
            <color rgb="FF000000"/>
            <rFont val="Arial"/>
            <family val="2"/>
          </rPr>
          <t>Apple 10-K FY2025 | Page - | $147,957</t>
        </r>
      </text>
    </comment>
    <comment ref="C33" authorId="0" shapeId="0" xr:uid="{00000000-0006-0000-0100-000006000000}">
      <text>
        <r>
          <rPr>
            <sz val="9"/>
            <color rgb="FF000000"/>
            <rFont val="Arial"/>
            <family val="2"/>
          </rPr>
          <t>Apple 10-K FY2025 | Page - | $359,241</t>
        </r>
      </text>
    </comment>
    <comment ref="C44" authorId="0" shapeId="0" xr:uid="{00000000-0006-0000-0100-000007000000}">
      <text>
        <r>
          <rPr>
            <sz val="9"/>
            <color rgb="FF000000"/>
            <rFont val="Arial"/>
            <family val="2"/>
          </rPr>
          <t>Apple 10-K FY2025 | Page - | $285,508</t>
        </r>
      </text>
    </comment>
    <comment ref="C48" authorId="0" shapeId="0" xr:uid="{00000000-0006-0000-0100-000008000000}">
      <text>
        <r>
          <rPr>
            <sz val="9"/>
            <color rgb="FF000000"/>
            <rFont val="Arial"/>
            <family val="2"/>
          </rPr>
          <t>Apple 10-K FY2025 | Page - | $73,733</t>
        </r>
      </text>
    </comment>
    <comment ref="C61" authorId="0" shapeId="0" xr:uid="{00000000-0006-0000-0100-000009000000}">
      <text>
        <r>
          <rPr>
            <sz val="9"/>
            <color rgb="FF000000"/>
            <rFont val="Arial"/>
            <family val="2"/>
          </rPr>
          <t>Apple 10-K FY2025 | Page - | $111,482</t>
        </r>
      </text>
    </comment>
    <comment ref="C82" authorId="0" shapeId="0" xr:uid="{00000000-0006-0000-0100-00000A000000}">
      <text>
        <r>
          <rPr>
            <sz val="9"/>
            <color rgb="FF000000"/>
            <rFont val="Arial"/>
            <family val="2"/>
          </rPr>
          <t>Apple 10-K FY2025 | Page - | $98,767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9" authorId="0" shapeId="0" xr:uid="{00000000-0006-0000-0200-000001000000}">
      <text>
        <r>
          <rPr>
            <sz val="9"/>
            <color rgb="FF000000"/>
            <rFont val="Arial"/>
            <family val="2"/>
          </rPr>
          <t>Apple 10-K FY2025 | Page - | 15,015</t>
        </r>
      </text>
    </comment>
    <comment ref="B25" authorId="0" shapeId="0" xr:uid="{00000000-0006-0000-0200-000002000000}">
      <text>
        <r>
          <rPr>
            <sz val="9"/>
            <color rgb="FF000000"/>
            <rFont val="Arial"/>
            <family val="2"/>
          </rPr>
          <t>Apple 10-K FY2025 | Page 55 | 5.56%</t>
        </r>
      </text>
    </comment>
    <comment ref="B26" authorId="0" shapeId="0" xr:uid="{00000000-0006-0000-0200-000003000000}">
      <text>
        <r>
          <rPr>
            <sz val="9"/>
            <color rgb="FF000000"/>
            <rFont val="Arial"/>
            <family val="2"/>
          </rPr>
          <t>Apple 10-K FY2025 | Page 37 | Commercial paper + Term debt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<sst xmlns="http://schemas.openxmlformats.org/spreadsheetml/2006/main" count="395" uniqueCount="169">
  <si>
    <t>Student: Truc Anh Nguyen - 0873760</t>
  </si>
  <si>
    <t>APPLE INC. — FREE CASH FLOW CALCULATION</t>
  </si>
  <si>
    <t>Fiscal Year Ended September 27, 2025 (FY2025)</t>
  </si>
  <si>
    <t>Source: Apple Inc. 10-K Annual Report, Filed with SEC</t>
  </si>
  <si>
    <t>Line Item</t>
  </si>
  <si>
    <t>Amount ($M)</t>
  </si>
  <si>
    <t>Basis / Formula</t>
  </si>
  <si>
    <t>I. CASH GENERATED BY OPERATING ACTIVITIES</t>
  </si>
  <si>
    <t>Net Income</t>
  </si>
  <si>
    <t>10-K: Consolidated Statements of Operations</t>
  </si>
  <si>
    <t xml:space="preserve">  (+) Depreciation &amp; Amortization</t>
  </si>
  <si>
    <t>Non-cash charge added back</t>
  </si>
  <si>
    <t xml:space="preserve">  (+) Share-Based Compensation</t>
  </si>
  <si>
    <t xml:space="preserve">  (+) Other Adjustments</t>
  </si>
  <si>
    <t>Other non-cash items per 10-K</t>
  </si>
  <si>
    <t>Changes in Operating Assets &amp; Liabilities:</t>
  </si>
  <si>
    <t xml:space="preserve">  Accounts Receivable, net</t>
  </si>
  <si>
    <t>Increase in A/R = cash outflow</t>
  </si>
  <si>
    <t xml:space="preserve">  Vendor Non-Trade Receivables</t>
  </si>
  <si>
    <t>Increase = cash outflow</t>
  </si>
  <si>
    <t xml:space="preserve">  Inventories</t>
  </si>
  <si>
    <t>Decrease in inventory = cash inflow</t>
  </si>
  <si>
    <t xml:space="preserve">  Other Current &amp; Non-Current Assets</t>
  </si>
  <si>
    <t>Increase in assets = cash outflow</t>
  </si>
  <si>
    <t xml:space="preserve">  Accounts Payable</t>
  </si>
  <si>
    <t>Increase in A/P = cash inflow</t>
  </si>
  <si>
    <t xml:space="preserve">  Other Current &amp; Non-Current Liabilities</t>
  </si>
  <si>
    <t>Decrease in liabilities = cash outflow</t>
  </si>
  <si>
    <t>Cash Generated by Operating Activities (CFO)</t>
  </si>
  <si>
    <t>Sum of all operating items (per 10-K: $111,482M)</t>
  </si>
  <si>
    <t>II. CAPITAL EXPENDITURES</t>
  </si>
  <si>
    <t>Purchases of Property, Plant &amp; Equipment (CapEx)</t>
  </si>
  <si>
    <t>10-K: Cash Flows — Investing Activities ($12,715M)</t>
  </si>
  <si>
    <t>III. FREE CASH FLOW (FCF)</t>
  </si>
  <si>
    <t>Free Cash Flow</t>
  </si>
  <si>
    <t>FCF = CFO - CapEx = $111,482M - $12,715M = $98,767M</t>
  </si>
  <si>
    <t>FORMULA:</t>
  </si>
  <si>
    <t>Free Cash Flow = Cash from Operations - Capital Expenditures</t>
  </si>
  <si>
    <t>FCF = $111,482M - $12,715M = $98,767M (~$98.8 Billion)</t>
  </si>
  <si>
    <t>APPLE INC. — CONSOLIDATED FINANCIAL STATEMENTS</t>
  </si>
  <si>
    <t>Fiscal Year Ended September 27, 2025 (In Millions, USD)</t>
  </si>
  <si>
    <t>Source: Apple Inc. Form 10-K, SEC Filing</t>
  </si>
  <si>
    <t>FY2025</t>
  </si>
  <si>
    <t>FY2024</t>
  </si>
  <si>
    <t>CONSOLIDATED STATEMENT OF OPERATIONS</t>
  </si>
  <si>
    <t>Net Sales (Revenue)</t>
  </si>
  <si>
    <t>Cost of Sales</t>
  </si>
  <si>
    <t>Gross Margin</t>
  </si>
  <si>
    <t>Research &amp; Development</t>
  </si>
  <si>
    <t>Selling, General &amp; Administrative</t>
  </si>
  <si>
    <t>Total Operating Expenses</t>
  </si>
  <si>
    <t>Operating Income</t>
  </si>
  <si>
    <t>Other Income/(Expense), Net</t>
  </si>
  <si>
    <t>Income Before Provision for Income Taxes</t>
  </si>
  <si>
    <t>Provision for Income Taxes</t>
  </si>
  <si>
    <t>CONSOLIDATED BALANCE SHEET</t>
  </si>
  <si>
    <t>ASSETS</t>
  </si>
  <si>
    <t>Cash &amp; Cash Equivalents</t>
  </si>
  <si>
    <t>Marketable Securities (Current)</t>
  </si>
  <si>
    <t>Accounts Receivable, Net</t>
  </si>
  <si>
    <t>Vendor Non-Trade Receivables</t>
  </si>
  <si>
    <t>Inventories</t>
  </si>
  <si>
    <t>Other Current Assets</t>
  </si>
  <si>
    <t>Total Current Assets</t>
  </si>
  <si>
    <t>Marketable Securities (Non-Current)</t>
  </si>
  <si>
    <t>Property, Plant &amp; Equipment, Net</t>
  </si>
  <si>
    <t>Other Non-Current Assets</t>
  </si>
  <si>
    <t>Total Non-Current Assets</t>
  </si>
  <si>
    <t>Total Assets</t>
  </si>
  <si>
    <t>LIABILITIES &amp; SHAREHOLDERS' EQUITY</t>
  </si>
  <si>
    <t>Accounts Payable</t>
  </si>
  <si>
    <t>Other Current Liabilities</t>
  </si>
  <si>
    <t>Deferred Revenue (Current)</t>
  </si>
  <si>
    <t>Commercial Paper</t>
  </si>
  <si>
    <t>Term Debt (Current)</t>
  </si>
  <si>
    <t>Total Current Liabilities</t>
  </si>
  <si>
    <t>Term Debt (Non-Current)</t>
  </si>
  <si>
    <t>Other Non-Current Liabilities</t>
  </si>
  <si>
    <t>Total Non-Current Liabilities</t>
  </si>
  <si>
    <t>Total Liabilities</t>
  </si>
  <si>
    <t>Common Stock &amp; Additional Paid-In Capital</t>
  </si>
  <si>
    <t>Retained Earnings/(Deficit)</t>
  </si>
  <si>
    <t>Accumulated Other Comprehensive Income/(Loss)</t>
  </si>
  <si>
    <t>Total Shareholders' Equity</t>
  </si>
  <si>
    <t>Total Liabilities &amp; Shareholders' Equity</t>
  </si>
  <si>
    <t>CONSOLIDATED STATEMENT OF CASH FLOWS</t>
  </si>
  <si>
    <t>Operating Activities</t>
  </si>
  <si>
    <t>Depreciation &amp; Amortization</t>
  </si>
  <si>
    <t>Share-Based Compensation</t>
  </si>
  <si>
    <t>Other Adjustments</t>
  </si>
  <si>
    <t>Changes in Accounts Receivable</t>
  </si>
  <si>
    <t>Changes in Inventories</t>
  </si>
  <si>
    <t>Changes in Accounts Payable</t>
  </si>
  <si>
    <t>Changes in Other Operating Items</t>
  </si>
  <si>
    <t>Cash Generated by Operating Activities</t>
  </si>
  <si>
    <t>Investing Activities</t>
  </si>
  <si>
    <t>Purchases of Marketable Securities</t>
  </si>
  <si>
    <t>Proceeds from Sales/Maturities of Securities</t>
  </si>
  <si>
    <t>Purchases of Property, Plant &amp; Equipment</t>
  </si>
  <si>
    <t>Other Investing Activities</t>
  </si>
  <si>
    <t>Cash Generated/(Used) by Investing Activities</t>
  </si>
  <si>
    <t>Financing Activities</t>
  </si>
  <si>
    <t>Net Short-Term Debt Issued/(Repaid)</t>
  </si>
  <si>
    <t>Long-Term Debt Issued</t>
  </si>
  <si>
    <t>Long-Term Debt Repaid</t>
  </si>
  <si>
    <t>Repurchases of Common Stock</t>
  </si>
  <si>
    <t>Dividends Paid</t>
  </si>
  <si>
    <t>Other Financing Activities</t>
  </si>
  <si>
    <t>Cash Used in Financing Activities</t>
  </si>
  <si>
    <t>Net Change in Cash</t>
  </si>
  <si>
    <t>Cash, Beginning of Period</t>
  </si>
  <si>
    <t>Cash, End of Period</t>
  </si>
  <si>
    <t>FREE CASH FLOW</t>
  </si>
  <si>
    <t>Operating Cash Flow - CapEx</t>
  </si>
  <si>
    <t>APPLE 2025 ANNUAL REPORT</t>
  </si>
  <si>
    <t xml:space="preserve"> </t>
  </si>
  <si>
    <t>Financial Information</t>
  </si>
  <si>
    <t>Ratio Calculations</t>
  </si>
  <si>
    <t>WACC + Intrinsic Value</t>
  </si>
  <si>
    <t>Item</t>
  </si>
  <si>
    <t>Value</t>
  </si>
  <si>
    <t>Ratio</t>
  </si>
  <si>
    <t>Note</t>
  </si>
  <si>
    <t>Revenue</t>
  </si>
  <si>
    <t>Gross Profit Margin</t>
  </si>
  <si>
    <t>FCF</t>
  </si>
  <si>
    <t>Unit: million USD</t>
  </si>
  <si>
    <t>COGS</t>
  </si>
  <si>
    <t>Operating Profit Margin</t>
  </si>
  <si>
    <t>Cost of Equity (Ke)</t>
  </si>
  <si>
    <t>CAPM: Rf + β(Rm-Rf)</t>
  </si>
  <si>
    <t>Net Profit Margin</t>
  </si>
  <si>
    <t>Cost of Debt (Kd)</t>
  </si>
  <si>
    <t>From 10-K Note 9 (weighted-avg effective rate)</t>
  </si>
  <si>
    <t>Return on Assets (ROA)</t>
  </si>
  <si>
    <t>Tax Rate</t>
  </si>
  <si>
    <t>Tax Provision / Pre-tax Income</t>
  </si>
  <si>
    <t>Return on Equity (ROE)</t>
  </si>
  <si>
    <t>Market Cap (E)</t>
  </si>
  <si>
    <t>Shares × Price per Share</t>
  </si>
  <si>
    <t>Earnings per Share (EPS)</t>
  </si>
  <si>
    <t>Total Debt (D)</t>
  </si>
  <si>
    <t>CP + Term Debt (Current + NC)</t>
  </si>
  <si>
    <t>Shareholder Equity</t>
  </si>
  <si>
    <t>Current Ratio</t>
  </si>
  <si>
    <t>Total Value (V = E+D)</t>
  </si>
  <si>
    <t>Current Assets</t>
  </si>
  <si>
    <t>Quick Ratio</t>
  </si>
  <si>
    <t>WACC</t>
  </si>
  <si>
    <t>(E/V)×Ke + (D/V)×Kd×(1-T)</t>
  </si>
  <si>
    <t>Cash Ratio</t>
  </si>
  <si>
    <t>Current Liabilities</t>
  </si>
  <si>
    <t>P/E Ratio</t>
  </si>
  <si>
    <t>Intrinsic Firm Value</t>
  </si>
  <si>
    <t>FCF ÷ WACC</t>
  </si>
  <si>
    <t>Cash and Equivalents</t>
  </si>
  <si>
    <t>Dividend Payout Ratio</t>
  </si>
  <si>
    <t>Shares Outstanding</t>
  </si>
  <si>
    <t>Unit: million shares</t>
  </si>
  <si>
    <t>Dividends</t>
  </si>
  <si>
    <t>Debt-to-Equity Ratio</t>
  </si>
  <si>
    <t>Value per Share</t>
  </si>
  <si>
    <t>Firm Value ÷ Shares</t>
  </si>
  <si>
    <t>Sustainable Growth Rate</t>
  </si>
  <si>
    <t>Price per Share</t>
  </si>
  <si>
    <t>Beta</t>
  </si>
  <si>
    <t>Risk-Free Rate (10Y Treasury)</t>
  </si>
  <si>
    <t>Market Return (S&amp;P500 10Y avg)</t>
  </si>
  <si>
    <t>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</si>
</sst>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0.000"/>
    <numFmt numFmtId="166" formatCode="0.0"/>
    <numFmt numFmtId="167" formatCode="#,##0.000"/>
  </numFmts>
  <fonts count="34">
    <font>
      <sz val="12"/>
      <color theme="1"/>
      <name val="Aptos Narrow"/>
      <scheme val="minor"/>
    </font>
    <font>
      <b/>
      <sz val="14"/>
      <color rgb="FF1F3864"/>
      <name val="Aptos Narrow"/>
    </font>
    <font>
      <b/>
      <sz val="11"/>
      <color rgb="FF4472C4"/>
      <name val="Aptos Narrow"/>
    </font>
    <font>
      <i/>
      <sz val="10"/>
      <color rgb="FF808080"/>
      <name val="Aptos Narrow"/>
    </font>
    <font>
      <b/>
      <sz val="11"/>
      <color rgb="FFFFFFFF"/>
      <name val="Aptos Narrow"/>
    </font>
    <font>
      <b/>
      <sz val="11"/>
      <color rgb="FF1F3864"/>
      <name val="Aptos Narrow"/>
    </font>
    <font>
      <b/>
      <sz val="11"/>
      <color theme="1"/>
      <name val="Aptos Narrow"/>
    </font>
    <font>
      <sz val="12"/>
      <color rgb="FF0000FF"/>
      <name val="Aptos Narrow"/>
      <scheme val="minor"/>
    </font>
    <font>
      <sz val="10"/>
      <color rgb="FF595959"/>
      <name val="Aptos Narrow"/>
    </font>
    <font>
      <sz val="11"/>
      <color theme="1"/>
      <name val="Aptos Narrow"/>
    </font>
    <font>
      <b/>
      <sz val="11"/>
      <color rgb="FF404040"/>
      <name val="Aptos Narrow"/>
    </font>
    <font>
      <b/>
      <sz val="12"/>
      <color rgb="FFFFFFFF"/>
      <name val="Aptos Narrow"/>
    </font>
    <font>
      <b/>
      <sz val="12"/>
      <color rgb="FF1F3864"/>
      <name val="Aptos Narrow"/>
    </font>
    <font>
      <b/>
      <sz val="10"/>
      <color rgb="FF1F3864"/>
      <name val="Aptos Narrow"/>
    </font>
    <font>
      <b/>
      <sz val="11"/>
      <color rgb="FFC00000"/>
      <name val="Aptos Narrow"/>
    </font>
    <font>
      <sz val="11"/>
      <color rgb="FF404040"/>
      <name val="Aptos Narrow"/>
    </font>
    <font>
      <b/>
      <sz val="11"/>
      <name val="Aptos Narrow"/>
    </font>
    <font>
      <b/>
      <sz val="11"/>
      <color rgb="FF0000FF"/>
      <name val="Aptos Narrow"/>
    </font>
    <font>
      <sz val="11"/>
      <name val="Aptos Narrow"/>
    </font>
    <font>
      <b/>
      <sz val="11"/>
      <color rgb="FF000000"/>
      <name val="Aptos Narrow"/>
    </font>
    <font>
      <sz val="12"/>
      <name val="Aptos Narrow"/>
      <scheme val="minor"/>
    </font>
    <font>
      <b/>
      <sz val="12"/>
      <color rgb="FF000000"/>
      <name val="Aptos Narrow"/>
    </font>
    <font>
      <sz val="11"/>
      <name val="Calibri"/>
    </font>
    <font>
      <b/>
      <sz val="11"/>
      <name val="Calibri"/>
    </font>
    <font>
      <sz val="11"/>
      <color rgb="FF008000"/>
      <name val="Calibri"/>
    </font>
    <font>
      <sz val="11"/>
      <color rgb="FF000000"/>
      <name val="Calibri"/>
    </font>
    <font>
      <sz val="10"/>
      <color rgb="FF000000"/>
      <name val="Arial Unicode MS"/>
    </font>
    <font>
      <sz val="11"/>
      <color rgb="FFFF0000"/>
      <name val="Calibri"/>
    </font>
    <font>
      <sz val="11"/>
      <color rgb="FF0000FF"/>
      <name val="Calibri"/>
    </font>
    <font>
      <b/>
      <sz val="20"/>
      <color rgb="FFFFFFFF"/>
      <name val="Calibri"/>
    </font>
    <font>
      <b/>
      <sz val="11"/>
      <color rgb="FFFFFFFF"/>
      <name val="Calibri"/>
    </font>
    <font>
      <i/>
      <sz val="10"/>
      <color theme="1"/>
      <name val="Aptos Narrow"/>
      <scheme val="minor"/>
    </font>
    <font>
      <sz val="9"/>
      <color rgb="FF000000"/>
      <name val="Arial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8F8F8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A6A6A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/>
      <top style="medium">
        <color rgb="FF1F3864"/>
      </top>
      <bottom style="double">
        <color rgb="FF1F3864"/>
      </bottom>
      <diagonal/>
    </border>
    <border>
      <left/>
      <right/>
      <top style="thin">
        <color rgb="FF1F38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"/>
  </cellStyleXfs>
  <cellXfs count="89">
    <xf numFmtId="0" fontId="0" fillId="0" borderId="1" xfId="0"/>
    <xf numFmtId="0" fontId="31" fillId="0" borderId="1" xfId="0" applyFont="1"/>
    <xf numFmtId="0" fontId="1" fillId="0" borderId="1" xfId="0" applyFont="1"/>
    <xf numFmtId="0" fontId="2" fillId="0" borderId="1" xfId="0" applyFont="1"/>
    <xf numFmtId="0" fontId="3" fillId="0" borderId="1" xfId="0" applyFont="1"/>
    <xf numFmtId="0" fontId="4" fillId="2" borderId="1" xfId="0" applyFont="1" applyFill="1" applyAlignment="1">
      <alignment horizontal="left"/>
    </xf>
    <xf numFmtId="0" fontId="4" fillId="2" borderId="1" xfId="0" applyFont="1" applyFill="1" applyAlignment="1">
      <alignment horizontal="center"/>
    </xf>
    <xf numFmtId="0" fontId="5" fillId="3" borderId="1" xfId="0" applyFont="1" applyFill="1"/>
    <xf numFmtId="0" fontId="6" fillId="4" borderId="1" xfId="0" applyFont="1" applyFill="1"/>
    <xf numFmtId="164" fontId="7" fillId="4" borderId="1" xfId="0" applyNumberFormat="1" applyFont="1" applyFill="1"/>
    <xf numFmtId="0" fontId="8" fillId="4" borderId="1" xfId="0" applyFont="1" applyFill="1"/>
    <xf numFmtId="0" fontId="9" fillId="0" borderId="1" xfId="0" applyFont="1"/>
    <xf numFmtId="164" fontId="7" fillId="0" borderId="1" xfId="0" applyNumberFormat="1" applyFont="1"/>
    <xf numFmtId="0" fontId="8" fillId="0" borderId="1" xfId="0" applyFont="1"/>
    <xf numFmtId="0" fontId="9" fillId="4" borderId="1" xfId="0" applyFont="1" applyFill="1"/>
    <xf numFmtId="0" fontId="10" fillId="4" borderId="1" xfId="0" applyFont="1" applyFill="1"/>
    <xf numFmtId="0" fontId="0" fillId="4" borderId="1" xfId="0" applyFill="1"/>
    <xf numFmtId="0" fontId="6" fillId="5" borderId="1" xfId="0" applyFont="1" applyFill="1"/>
    <xf numFmtId="164" fontId="6" fillId="5" borderId="2" xfId="0" applyNumberFormat="1" applyFont="1" applyFill="1" applyBorder="1"/>
    <xf numFmtId="0" fontId="11" fillId="2" borderId="1" xfId="0" applyFont="1" applyFill="1"/>
    <xf numFmtId="0" fontId="12" fillId="0" borderId="1" xfId="0" applyFont="1"/>
    <xf numFmtId="164" fontId="12" fillId="0" borderId="3" xfId="0" applyNumberFormat="1" applyFont="1" applyBorder="1"/>
    <xf numFmtId="0" fontId="13" fillId="0" borderId="1" xfId="0" applyFont="1"/>
    <xf numFmtId="0" fontId="14" fillId="0" borderId="1" xfId="0" applyFont="1"/>
    <xf numFmtId="0" fontId="15" fillId="0" borderId="1" xfId="0" applyFont="1"/>
    <xf numFmtId="0" fontId="1" fillId="0" borderId="1" xfId="0" applyFont="1" applyAlignment="1">
      <alignment vertical="top"/>
    </xf>
    <xf numFmtId="0" fontId="2" fillId="0" borderId="1" xfId="0" applyFont="1" applyAlignment="1">
      <alignment vertical="top"/>
    </xf>
    <xf numFmtId="0" fontId="3" fillId="0" borderId="1" xfId="0" applyFont="1" applyAlignment="1">
      <alignment vertical="top"/>
    </xf>
    <xf numFmtId="0" fontId="4" fillId="2" borderId="1" xfId="0" applyFont="1" applyFill="1" applyAlignment="1">
      <alignment vertical="top"/>
    </xf>
    <xf numFmtId="0" fontId="4" fillId="2" borderId="1" xfId="0" applyFont="1" applyFill="1" applyAlignment="1">
      <alignment horizontal="right" vertical="top"/>
    </xf>
    <xf numFmtId="0" fontId="5" fillId="3" borderId="1" xfId="0" applyFont="1" applyFill="1" applyAlignment="1">
      <alignment vertical="top"/>
    </xf>
    <xf numFmtId="0" fontId="16" fillId="6" borderId="1" xfId="0" applyFont="1" applyFill="1" applyAlignment="1">
      <alignment vertical="top"/>
    </xf>
    <xf numFmtId="164" fontId="17" fillId="6" borderId="1" xfId="0" applyNumberFormat="1" applyFont="1" applyFill="1" applyAlignment="1">
      <alignment vertical="top"/>
    </xf>
    <xf numFmtId="0" fontId="18" fillId="0" borderId="1" xfId="0" applyFont="1" applyAlignment="1">
      <alignment vertical="top"/>
    </xf>
    <xf numFmtId="164" fontId="7" fillId="0" borderId="1" xfId="0" applyNumberFormat="1" applyFont="1" applyAlignment="1">
      <alignment vertical="top"/>
    </xf>
    <xf numFmtId="164" fontId="19" fillId="6" borderId="4" xfId="0" applyNumberFormat="1" applyFont="1" applyFill="1" applyBorder="1" applyAlignment="1">
      <alignment vertical="top"/>
    </xf>
    <xf numFmtId="0" fontId="18" fillId="0" borderId="1" xfId="0" applyFont="1" applyAlignment="1">
      <alignment horizontal="left" vertical="top" indent="1"/>
    </xf>
    <xf numFmtId="0" fontId="18" fillId="6" borderId="1" xfId="0" applyFont="1" applyFill="1" applyAlignment="1">
      <alignment horizontal="left" vertical="top" indent="1"/>
    </xf>
    <xf numFmtId="164" fontId="7" fillId="6" borderId="1" xfId="0" applyNumberFormat="1" applyFont="1" applyFill="1" applyAlignment="1">
      <alignment vertical="top"/>
    </xf>
    <xf numFmtId="0" fontId="16" fillId="0" borderId="1" xfId="0" applyFont="1" applyAlignment="1">
      <alignment vertical="top"/>
    </xf>
    <xf numFmtId="164" fontId="19" fillId="0" borderId="1" xfId="0" applyNumberFormat="1" applyFont="1" applyAlignment="1">
      <alignment vertical="top"/>
    </xf>
    <xf numFmtId="164" fontId="19" fillId="6" borderId="1" xfId="0" applyNumberFormat="1" applyFont="1" applyFill="1" applyAlignment="1">
      <alignment vertical="top"/>
    </xf>
    <xf numFmtId="164" fontId="19" fillId="6" borderId="2" xfId="0" applyNumberFormat="1" applyFont="1" applyFill="1" applyBorder="1" applyAlignment="1">
      <alignment vertical="top"/>
    </xf>
    <xf numFmtId="0" fontId="5" fillId="0" borderId="1" xfId="0" applyFont="1" applyAlignment="1">
      <alignment vertical="top"/>
    </xf>
    <xf numFmtId="164" fontId="19" fillId="0" borderId="2" xfId="0" applyNumberFormat="1" applyFont="1" applyBorder="1" applyAlignment="1">
      <alignment vertical="top"/>
    </xf>
    <xf numFmtId="0" fontId="5" fillId="6" borderId="1" xfId="0" applyFont="1" applyFill="1" applyAlignment="1">
      <alignment vertical="top"/>
    </xf>
    <xf numFmtId="0" fontId="20" fillId="6" borderId="1" xfId="0" applyFont="1" applyFill="1" applyAlignment="1">
      <alignment vertical="top"/>
    </xf>
    <xf numFmtId="164" fontId="19" fillId="0" borderId="4" xfId="0" applyNumberFormat="1" applyFont="1" applyBorder="1" applyAlignment="1">
      <alignment vertical="top"/>
    </xf>
    <xf numFmtId="164" fontId="20" fillId="6" borderId="1" xfId="0" applyNumberFormat="1" applyFont="1" applyFill="1" applyAlignment="1">
      <alignment vertical="top"/>
    </xf>
    <xf numFmtId="0" fontId="18" fillId="6" borderId="1" xfId="0" applyFont="1" applyFill="1" applyAlignment="1">
      <alignment vertical="top"/>
    </xf>
    <xf numFmtId="0" fontId="11" fillId="2" borderId="1" xfId="0" applyFont="1" applyFill="1" applyAlignment="1">
      <alignment vertical="top"/>
    </xf>
    <xf numFmtId="0" fontId="12" fillId="6" borderId="1" xfId="0" applyFont="1" applyFill="1" applyAlignment="1">
      <alignment vertical="top"/>
    </xf>
    <xf numFmtId="164" fontId="21" fillId="6" borderId="3" xfId="0" applyNumberFormat="1" applyFont="1" applyFill="1" applyBorder="1" applyAlignment="1">
      <alignment vertical="top"/>
    </xf>
    <xf numFmtId="0" fontId="22" fillId="7" borderId="1" xfId="0" applyFont="1" applyFill="1" applyAlignment="1">
      <alignment horizontal="center" vertical="center"/>
    </xf>
    <xf numFmtId="0" fontId="22" fillId="7" borderId="1" xfId="0" applyFont="1" applyFill="1"/>
    <xf numFmtId="0" fontId="23" fillId="7" borderId="5" xfId="0" applyFont="1" applyFill="1" applyBorder="1" applyAlignment="1">
      <alignment horizontal="left" vertical="top"/>
    </xf>
    <xf numFmtId="0" fontId="23" fillId="7" borderId="5" xfId="0" applyFont="1" applyFill="1" applyBorder="1"/>
    <xf numFmtId="0" fontId="23" fillId="7" borderId="5" xfId="0" applyFont="1" applyFill="1" applyBorder="1" applyAlignment="1">
      <alignment horizontal="left" vertical="center" wrapText="1"/>
    </xf>
    <xf numFmtId="0" fontId="22" fillId="7" borderId="5" xfId="0" applyFont="1" applyFill="1" applyBorder="1" applyAlignment="1">
      <alignment vertical="top"/>
    </xf>
    <xf numFmtId="3" fontId="24" fillId="0" borderId="5" xfId="0" applyNumberFormat="1" applyFont="1" applyBorder="1" applyAlignment="1">
      <alignment vertical="top"/>
    </xf>
    <xf numFmtId="0" fontId="22" fillId="7" borderId="5" xfId="0" applyFont="1" applyFill="1" applyBorder="1"/>
    <xf numFmtId="10" fontId="25" fillId="7" borderId="5" xfId="0" applyNumberFormat="1" applyFont="1" applyFill="1" applyBorder="1" applyAlignment="1">
      <alignment horizontal="left"/>
    </xf>
    <xf numFmtId="0" fontId="22" fillId="7" borderId="5" xfId="0" applyFont="1" applyFill="1" applyBorder="1" applyAlignment="1">
      <alignment horizontal="left" vertical="center" wrapText="1"/>
    </xf>
    <xf numFmtId="0" fontId="27" fillId="7" borderId="5" xfId="0" applyFont="1" applyFill="1" applyBorder="1"/>
    <xf numFmtId="2" fontId="25" fillId="7" borderId="5" xfId="0" applyNumberFormat="1" applyFont="1" applyFill="1" applyBorder="1" applyAlignment="1">
      <alignment horizontal="left"/>
    </xf>
    <xf numFmtId="165" fontId="25" fillId="7" borderId="5" xfId="0" applyNumberFormat="1" applyFont="1" applyFill="1" applyBorder="1" applyAlignment="1">
      <alignment horizontal="left"/>
    </xf>
    <xf numFmtId="3" fontId="28" fillId="0" borderId="5" xfId="0" applyNumberFormat="1" applyFont="1" applyBorder="1" applyAlignment="1">
      <alignment vertical="top"/>
    </xf>
    <xf numFmtId="4" fontId="28" fillId="0" borderId="5" xfId="0" applyNumberFormat="1" applyFont="1" applyBorder="1" applyAlignment="1">
      <alignment vertical="top"/>
    </xf>
    <xf numFmtId="166" fontId="28" fillId="7" borderId="5" xfId="0" applyNumberFormat="1" applyFont="1" applyFill="1" applyBorder="1" applyAlignment="1">
      <alignment horizontal="right" vertical="top"/>
    </xf>
    <xf numFmtId="167" fontId="28" fillId="7" borderId="5" xfId="0" applyNumberFormat="1" applyFont="1" applyFill="1" applyBorder="1" applyAlignment="1">
      <alignment horizontal="right" vertical="top"/>
    </xf>
    <xf numFmtId="0" fontId="29" fillId="8" borderId="1" xfId="0" applyFont="1" applyFill="1" applyAlignment="1">
      <alignment horizontal="center" vertical="center"/>
    </xf>
    <xf numFmtId="0" fontId="30" fillId="9" borderId="5" xfId="0" applyFont="1" applyFill="1" applyBorder="1" applyAlignment="1">
      <alignment horizontal="center" vertical="center"/>
    </xf>
    <xf numFmtId="0" fontId="22" fillId="7" borderId="1" xfId="0" applyFont="1" applyFill="1"/>
    <xf numFmtId="0" fontId="22" fillId="7" borderId="7" xfId="0" applyFont="1" applyFill="1" applyBorder="1" applyAlignment="1">
      <alignment horizontal="left" vertical="center" wrapText="1"/>
    </xf>
    <xf numFmtId="0" fontId="22" fillId="7" borderId="6" xfId="0" applyFont="1" applyFill="1" applyBorder="1"/>
    <xf numFmtId="3" fontId="22" fillId="7" borderId="6" xfId="0" applyNumberFormat="1" applyFont="1" applyFill="1" applyBorder="1"/>
    <xf numFmtId="10" fontId="22" fillId="7" borderId="6" xfId="0" applyNumberFormat="1" applyFont="1" applyFill="1" applyBorder="1"/>
    <xf numFmtId="0" fontId="22" fillId="7" borderId="7" xfId="0" applyFont="1" applyFill="1" applyBorder="1" applyAlignment="1">
      <alignment vertical="top"/>
    </xf>
    <xf numFmtId="167" fontId="28" fillId="7" borderId="7" xfId="0" applyNumberFormat="1" applyFont="1" applyFill="1" applyBorder="1" applyAlignment="1">
      <alignment horizontal="right" vertical="top"/>
    </xf>
    <xf numFmtId="0" fontId="23" fillId="7" borderId="5" xfId="0" applyFont="1" applyFill="1" applyBorder="1" applyAlignment="1">
      <alignment horizontal="center" vertical="center" wrapText="1"/>
    </xf>
    <xf numFmtId="3" fontId="26" fillId="7" borderId="5" xfId="0" applyNumberFormat="1" applyFont="1" applyFill="1" applyBorder="1" applyAlignment="1">
      <alignment horizontal="center" vertical="center" wrapText="1"/>
    </xf>
    <xf numFmtId="10" fontId="26" fillId="7" borderId="5" xfId="0" applyNumberFormat="1" applyFont="1" applyFill="1" applyBorder="1" applyAlignment="1">
      <alignment horizontal="center" vertical="center" wrapText="1"/>
    </xf>
    <xf numFmtId="3" fontId="26" fillId="7" borderId="7" xfId="0" applyNumberFormat="1" applyFont="1" applyFill="1" applyBorder="1" applyAlignment="1">
      <alignment horizontal="center" vertical="center" wrapText="1"/>
    </xf>
    <xf numFmtId="3" fontId="22" fillId="7" borderId="6" xfId="0" applyNumberFormat="1" applyFont="1" applyFill="1" applyBorder="1" applyAlignment="1">
      <alignment horizontal="center"/>
    </xf>
    <xf numFmtId="0" fontId="22" fillId="7" borderId="6" xfId="0" applyFont="1" applyFill="1" applyBorder="1" applyAlignment="1">
      <alignment horizontal="center"/>
    </xf>
    <xf numFmtId="4" fontId="22" fillId="7" borderId="6" xfId="0" applyNumberFormat="1" applyFont="1" applyFill="1" applyBorder="1" applyAlignment="1">
      <alignment horizontal="center"/>
    </xf>
    <xf numFmtId="0" fontId="33" fillId="7" borderId="6" xfId="0" applyFont="1" applyFill="1" applyBorder="1"/>
    <xf numFmtId="10" fontId="33" fillId="7" borderId="6" xfId="0" applyNumberFormat="1" applyFont="1" applyFill="1" applyBorder="1" applyAlignment="1">
      <alignment horizontal="center"/>
    </xf>
    <xf numFmtId="4" fontId="33" fillId="7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1B88-2758-54F8-7CA2-99A7EC30C7E8}">
  <dimension ref="B1:D1000"/>
  <sheetViews>
    <sheetView showGridLines="0" topLeftCell="A7" zoomScale="90" workbookViewId="0">
      <selection activeCell="D3" sqref="D3"/>
    </sheetView>
  </sheetViews>
  <sheetFormatPr defaultColWidth="9" defaultRowHeight="15.95" customHeight="1"/>
  <cols>
    <col min="1" max="1" width="1" customWidth="1"/>
    <col min="2" max="2" width="47.515625" customWidth="1"/>
    <col min="3" max="3" width="20" customWidth="1"/>
    <col min="4" max="4" width="47.515625" customWidth="1"/>
  </cols>
  <sheetData>
    <row r="1" spans="2:4" ht="16.5" customHeight="1">
      <c r="B1" s="1" t="s">
        <v>0</v>
      </c>
    </row>
    <row r="2" spans="2:4" ht="18.75" customHeight="1">
      <c r="B2" s="2" t="s">
        <v>1</v>
      </c>
    </row>
    <row r="3" spans="2:4" ht="15" customHeight="1">
      <c r="B3" s="3" t="s">
        <v>2</v>
      </c>
    </row>
    <row r="4" spans="2:4" ht="14.25" customHeight="1">
      <c r="B4" s="4" t="s">
        <v>3</v>
      </c>
    </row>
    <row r="5" spans="2:4" ht="16.5" customHeight="1"/>
    <row r="6" spans="2:4" ht="15" customHeight="1">
      <c r="B6" s="5" t="s">
        <v>4</v>
      </c>
      <c r="C6" s="6" t="s">
        <v>5</v>
      </c>
      <c r="D6" s="5" t="s">
        <v>6</v>
      </c>
    </row>
    <row r="7" spans="2:4" ht="15" customHeight="1">
      <c r="B7" s="7" t="s">
        <v>7</v>
      </c>
      <c r="C7" s="7"/>
      <c r="D7" s="7"/>
    </row>
    <row r="8" spans="2:4" ht="15.75" customHeight="1">
      <c r="B8" s="8" t="s">
        <v>8</v>
      </c>
      <c r="C8" s="9">
        <v>112010</v>
      </c>
      <c r="D8" s="10" t="s">
        <v>9</v>
      </c>
    </row>
    <row r="9" spans="2:4" ht="15.75" customHeight="1">
      <c r="B9" s="11" t="s">
        <v>10</v>
      </c>
      <c r="C9" s="12">
        <v>11698</v>
      </c>
      <c r="D9" s="13" t="s">
        <v>11</v>
      </c>
    </row>
    <row r="10" spans="2:4" ht="15.75" customHeight="1">
      <c r="B10" s="14" t="s">
        <v>12</v>
      </c>
      <c r="C10" s="9">
        <v>12863</v>
      </c>
      <c r="D10" s="10" t="s">
        <v>11</v>
      </c>
    </row>
    <row r="11" spans="2:4" ht="15.75" customHeight="1">
      <c r="B11" s="11" t="s">
        <v>13</v>
      </c>
      <c r="C11" s="12">
        <v>-89</v>
      </c>
      <c r="D11" s="13" t="s">
        <v>14</v>
      </c>
    </row>
    <row r="12" spans="2:4" ht="15" customHeight="1">
      <c r="B12" s="15" t="s">
        <v>15</v>
      </c>
      <c r="C12" s="16"/>
      <c r="D12" s="10"/>
    </row>
    <row r="13" spans="2:4" ht="15.75" customHeight="1">
      <c r="B13" s="11" t="s">
        <v>16</v>
      </c>
      <c r="C13" s="12">
        <v>-6682</v>
      </c>
      <c r="D13" s="13" t="s">
        <v>17</v>
      </c>
    </row>
    <row r="14" spans="2:4" ht="15.75" customHeight="1">
      <c r="B14" s="14" t="s">
        <v>18</v>
      </c>
      <c r="C14" s="9">
        <v>-347</v>
      </c>
      <c r="D14" s="10" t="s">
        <v>19</v>
      </c>
    </row>
    <row r="15" spans="2:4" ht="15.75" customHeight="1">
      <c r="B15" s="11" t="s">
        <v>20</v>
      </c>
      <c r="C15" s="12">
        <v>1400</v>
      </c>
      <c r="D15" s="13" t="s">
        <v>21</v>
      </c>
    </row>
    <row r="16" spans="2:4" ht="15.75" customHeight="1">
      <c r="B16" s="14" t="s">
        <v>22</v>
      </c>
      <c r="C16" s="9">
        <v>-9197</v>
      </c>
      <c r="D16" s="10" t="s">
        <v>23</v>
      </c>
    </row>
    <row r="17" spans="2:4" ht="15.75" customHeight="1">
      <c r="B17" s="11" t="s">
        <v>24</v>
      </c>
      <c r="C17" s="12">
        <v>902</v>
      </c>
      <c r="D17" s="13" t="s">
        <v>25</v>
      </c>
    </row>
    <row r="18" spans="2:4" ht="15.75" customHeight="1">
      <c r="B18" s="14" t="s">
        <v>26</v>
      </c>
      <c r="C18" s="9">
        <v>-11076</v>
      </c>
      <c r="D18" s="10" t="s">
        <v>27</v>
      </c>
    </row>
    <row r="19" spans="2:4" ht="16.5" customHeight="1"/>
    <row r="20" spans="2:4" ht="15" customHeight="1">
      <c r="B20" s="17" t="s">
        <v>28</v>
      </c>
      <c r="C20" s="18">
        <f>SUM(C8:C18)</f>
        <v>111482</v>
      </c>
      <c r="D20" s="17" t="s">
        <v>29</v>
      </c>
    </row>
    <row r="21" spans="2:4" ht="16.5" customHeight="1"/>
    <row r="22" spans="2:4" ht="15" customHeight="1">
      <c r="B22" s="7" t="s">
        <v>30</v>
      </c>
      <c r="C22" s="7"/>
      <c r="D22" s="7"/>
    </row>
    <row r="23" spans="2:4" ht="15.75" customHeight="1">
      <c r="B23" s="11" t="s">
        <v>31</v>
      </c>
      <c r="C23" s="12">
        <v>-12715</v>
      </c>
      <c r="D23" s="13" t="s">
        <v>32</v>
      </c>
    </row>
    <row r="24" spans="2:4" ht="16.5" customHeight="1"/>
    <row r="25" spans="2:4" ht="15.75" customHeight="1">
      <c r="B25" s="19" t="s">
        <v>33</v>
      </c>
      <c r="C25" s="19"/>
      <c r="D25" s="19"/>
    </row>
    <row r="26" spans="2:4" ht="16.5" customHeight="1"/>
    <row r="27" spans="2:4" ht="15.75" customHeight="1">
      <c r="B27" s="20" t="s">
        <v>34</v>
      </c>
      <c r="C27" s="21">
        <f>C20+C23</f>
        <v>98767</v>
      </c>
      <c r="D27" s="22" t="s">
        <v>35</v>
      </c>
    </row>
    <row r="28" spans="2:4" ht="16.5" customHeight="1"/>
    <row r="29" spans="2:4" ht="15" customHeight="1">
      <c r="B29" s="23" t="s">
        <v>36</v>
      </c>
    </row>
    <row r="30" spans="2:4" ht="15" customHeight="1">
      <c r="B30" s="24" t="s">
        <v>37</v>
      </c>
      <c r="C30" s="24"/>
      <c r="D30" s="24"/>
    </row>
    <row r="31" spans="2:4" ht="15" customHeight="1">
      <c r="B31" s="24" t="s">
        <v>38</v>
      </c>
      <c r="C31" s="24"/>
      <c r="D31" s="24"/>
    </row>
    <row r="32" spans="2:4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3F88-C0E8-6BF8-09D8-2DBF998B3F68}">
  <dimension ref="B1:D82"/>
  <sheetViews>
    <sheetView topLeftCell="B7" workbookViewId="0">
      <selection activeCell="B17" sqref="B17"/>
    </sheetView>
  </sheetViews>
  <sheetFormatPr defaultColWidth="7.73828125" defaultRowHeight="15" customHeight="1"/>
  <cols>
    <col min="1" max="1" width="1" customWidth="1"/>
    <col min="2" max="2" width="42.515625" customWidth="1"/>
    <col min="3" max="4" width="18.73828125" customWidth="1"/>
  </cols>
  <sheetData>
    <row r="1" spans="2:4" ht="15" customHeight="1">
      <c r="B1" s="1" t="s">
        <v>0</v>
      </c>
    </row>
    <row r="2" spans="2:4" ht="18" customHeight="1">
      <c r="B2" s="25" t="s">
        <v>39</v>
      </c>
    </row>
    <row r="3" spans="2:4" ht="15" customHeight="1">
      <c r="B3" s="26" t="s">
        <v>40</v>
      </c>
    </row>
    <row r="4" spans="2:4" ht="14.25" customHeight="1">
      <c r="B4" s="27" t="s">
        <v>41</v>
      </c>
    </row>
    <row r="6" spans="2:4" ht="15" customHeight="1">
      <c r="B6" s="28"/>
      <c r="C6" s="29" t="s">
        <v>42</v>
      </c>
      <c r="D6" s="29" t="s">
        <v>43</v>
      </c>
    </row>
    <row r="7" spans="2:4" ht="15" customHeight="1">
      <c r="B7" s="30" t="s">
        <v>44</v>
      </c>
      <c r="C7" s="30"/>
      <c r="D7" s="30"/>
    </row>
    <row r="8" spans="2:4" ht="15" customHeight="1">
      <c r="B8" s="31" t="s">
        <v>45</v>
      </c>
      <c r="C8" s="32">
        <v>416161</v>
      </c>
      <c r="D8" s="32">
        <v>391035</v>
      </c>
    </row>
    <row r="9" spans="2:4" ht="15.75" customHeight="1">
      <c r="B9" s="33" t="s">
        <v>46</v>
      </c>
      <c r="C9" s="34">
        <v>-220960</v>
      </c>
      <c r="D9" s="34">
        <v>-210438</v>
      </c>
    </row>
    <row r="10" spans="2:4" ht="15" customHeight="1">
      <c r="B10" s="31" t="s">
        <v>47</v>
      </c>
      <c r="C10" s="35">
        <f t="shared" ref="C10:D43" si="0">C8+C9</f>
        <v>195201</v>
      </c>
      <c r="D10" s="35">
        <f t="shared" si="0"/>
        <v>180597</v>
      </c>
    </row>
    <row r="11" spans="2:4" ht="15.75" customHeight="1">
      <c r="B11" s="36" t="s">
        <v>48</v>
      </c>
      <c r="C11" s="34">
        <v>-34550</v>
      </c>
      <c r="D11" s="34">
        <v>-31370</v>
      </c>
    </row>
    <row r="12" spans="2:4" ht="15.75" customHeight="1">
      <c r="B12" s="37" t="s">
        <v>49</v>
      </c>
      <c r="C12" s="38">
        <v>-27601</v>
      </c>
      <c r="D12" s="38">
        <v>-26146</v>
      </c>
    </row>
    <row r="13" spans="2:4" ht="15" customHeight="1">
      <c r="B13" s="39" t="s">
        <v>50</v>
      </c>
      <c r="C13" s="40">
        <f t="shared" si="0"/>
        <v>-62151</v>
      </c>
      <c r="D13" s="40">
        <f t="shared" si="0"/>
        <v>-57516</v>
      </c>
    </row>
    <row r="14" spans="2:4" ht="15" customHeight="1">
      <c r="B14" s="31" t="s">
        <v>51</v>
      </c>
      <c r="C14" s="35">
        <f t="shared" ref="C14:D44" si="1">C10+C13</f>
        <v>133050</v>
      </c>
      <c r="D14" s="35">
        <f t="shared" si="1"/>
        <v>123081</v>
      </c>
    </row>
    <row r="15" spans="2:4" ht="15.75" customHeight="1">
      <c r="B15" s="33" t="s">
        <v>52</v>
      </c>
      <c r="C15" s="34">
        <v>-321</v>
      </c>
      <c r="D15" s="34">
        <v>-382</v>
      </c>
    </row>
    <row r="16" spans="2:4" ht="15" customHeight="1">
      <c r="B16" s="31" t="s">
        <v>53</v>
      </c>
      <c r="C16" s="41">
        <f t="shared" si="0"/>
        <v>132729</v>
      </c>
      <c r="D16" s="41">
        <f t="shared" si="0"/>
        <v>122699</v>
      </c>
    </row>
    <row r="17" spans="2:4" ht="15.75" customHeight="1">
      <c r="B17" s="33" t="s">
        <v>54</v>
      </c>
      <c r="C17" s="34">
        <v>-20719</v>
      </c>
      <c r="D17" s="34">
        <v>-28963</v>
      </c>
    </row>
    <row r="18" spans="2:4" ht="15" customHeight="1">
      <c r="B18" s="31" t="s">
        <v>8</v>
      </c>
      <c r="C18" s="42">
        <f t="shared" si="0"/>
        <v>112010</v>
      </c>
      <c r="D18" s="42">
        <f t="shared" si="0"/>
        <v>93736</v>
      </c>
    </row>
    <row r="20" spans="2:4" ht="15" customHeight="1">
      <c r="B20" s="30" t="s">
        <v>55</v>
      </c>
      <c r="C20" s="30"/>
      <c r="D20" s="30"/>
    </row>
    <row r="21" spans="2:4" ht="15" customHeight="1">
      <c r="B21" s="43" t="s">
        <v>56</v>
      </c>
    </row>
    <row r="22" spans="2:4" ht="15.75" customHeight="1">
      <c r="B22" s="37" t="s">
        <v>57</v>
      </c>
      <c r="C22" s="38">
        <v>35934</v>
      </c>
      <c r="D22" s="38">
        <v>29943</v>
      </c>
    </row>
    <row r="23" spans="2:4" ht="15.75" customHeight="1">
      <c r="B23" s="36" t="s">
        <v>58</v>
      </c>
      <c r="C23" s="34">
        <v>18763</v>
      </c>
      <c r="D23" s="34">
        <v>35228</v>
      </c>
    </row>
    <row r="24" spans="2:4" ht="15.75" customHeight="1">
      <c r="B24" s="37" t="s">
        <v>59</v>
      </c>
      <c r="C24" s="38">
        <v>39777</v>
      </c>
      <c r="D24" s="38">
        <v>33410</v>
      </c>
    </row>
    <row r="25" spans="2:4" ht="15.75" customHeight="1">
      <c r="B25" s="36" t="s">
        <v>60</v>
      </c>
      <c r="C25" s="34">
        <v>33180</v>
      </c>
      <c r="D25" s="34">
        <v>32833</v>
      </c>
    </row>
    <row r="26" spans="2:4" ht="15.75" customHeight="1">
      <c r="B26" s="37" t="s">
        <v>61</v>
      </c>
      <c r="C26" s="38">
        <v>5718</v>
      </c>
      <c r="D26" s="38">
        <v>7286</v>
      </c>
    </row>
    <row r="27" spans="2:4" ht="15.75" customHeight="1">
      <c r="B27" s="36" t="s">
        <v>62</v>
      </c>
      <c r="C27" s="34">
        <v>14585</v>
      </c>
      <c r="D27" s="34">
        <v>14287</v>
      </c>
    </row>
    <row r="28" spans="2:4" ht="15" customHeight="1">
      <c r="B28" s="31" t="s">
        <v>63</v>
      </c>
      <c r="C28" s="35">
        <f t="shared" ref="C28:D75" si="2">SUM(C22:C27)</f>
        <v>147957</v>
      </c>
      <c r="D28" s="35">
        <f t="shared" si="2"/>
        <v>152987</v>
      </c>
    </row>
    <row r="29" spans="2:4" ht="15.75" customHeight="1">
      <c r="B29" s="36" t="s">
        <v>64</v>
      </c>
      <c r="C29" s="34">
        <v>77723</v>
      </c>
      <c r="D29" s="34">
        <v>91479</v>
      </c>
    </row>
    <row r="30" spans="2:4" ht="15.75" customHeight="1">
      <c r="B30" s="37" t="s">
        <v>65</v>
      </c>
      <c r="C30" s="38">
        <v>49834</v>
      </c>
      <c r="D30" s="38">
        <v>45680</v>
      </c>
    </row>
    <row r="31" spans="2:4" ht="15.75" customHeight="1">
      <c r="B31" s="36" t="s">
        <v>66</v>
      </c>
      <c r="C31" s="34">
        <v>83727</v>
      </c>
      <c r="D31" s="34">
        <v>74834</v>
      </c>
    </row>
    <row r="32" spans="2:4" ht="15" customHeight="1">
      <c r="B32" s="31" t="s">
        <v>67</v>
      </c>
      <c r="C32" s="35">
        <f t="shared" ref="C32:D48" si="3">SUM(C29:C31)</f>
        <v>211284</v>
      </c>
      <c r="D32" s="35">
        <f t="shared" si="3"/>
        <v>211993</v>
      </c>
    </row>
    <row r="33" spans="2:4" ht="15" customHeight="1">
      <c r="B33" s="39" t="s">
        <v>68</v>
      </c>
      <c r="C33" s="44">
        <f t="shared" ref="C33:D49" si="4">C28+C32</f>
        <v>359241</v>
      </c>
      <c r="D33" s="44">
        <f t="shared" si="4"/>
        <v>364980</v>
      </c>
    </row>
    <row r="34" spans="2:4" ht="15" customHeight="1">
      <c r="B34" s="45" t="s">
        <v>69</v>
      </c>
      <c r="C34" s="46"/>
      <c r="D34" s="46"/>
    </row>
    <row r="35" spans="2:4" ht="15.75" customHeight="1">
      <c r="B35" s="36" t="s">
        <v>70</v>
      </c>
      <c r="C35" s="34">
        <v>69860</v>
      </c>
      <c r="D35" s="34">
        <v>68960</v>
      </c>
    </row>
    <row r="36" spans="2:4" ht="15.75" customHeight="1">
      <c r="B36" s="37" t="s">
        <v>71</v>
      </c>
      <c r="C36" s="38">
        <v>66387</v>
      </c>
      <c r="D36" s="38">
        <v>78304</v>
      </c>
    </row>
    <row r="37" spans="2:4" ht="15.75" customHeight="1">
      <c r="B37" s="36" t="s">
        <v>72</v>
      </c>
      <c r="C37" s="34">
        <v>9055</v>
      </c>
      <c r="D37" s="34">
        <v>8249</v>
      </c>
    </row>
    <row r="38" spans="2:4" ht="15.75" customHeight="1">
      <c r="B38" s="37" t="s">
        <v>73</v>
      </c>
      <c r="C38" s="38">
        <v>7979</v>
      </c>
      <c r="D38" s="38">
        <v>9967</v>
      </c>
    </row>
    <row r="39" spans="2:4" ht="15.75" customHeight="1">
      <c r="B39" s="36" t="s">
        <v>74</v>
      </c>
      <c r="C39" s="34">
        <v>12350</v>
      </c>
      <c r="D39" s="34">
        <v>10912</v>
      </c>
    </row>
    <row r="40" spans="2:4" ht="15" customHeight="1">
      <c r="B40" s="31" t="s">
        <v>75</v>
      </c>
      <c r="C40" s="35">
        <f t="shared" ref="C40:D40" si="5">SUM(C35:C39)</f>
        <v>165631</v>
      </c>
      <c r="D40" s="35">
        <f t="shared" si="5"/>
        <v>176392</v>
      </c>
    </row>
    <row r="41" spans="2:4" ht="15.75" customHeight="1">
      <c r="B41" s="36" t="s">
        <v>76</v>
      </c>
      <c r="C41" s="34">
        <v>78328</v>
      </c>
      <c r="D41" s="34">
        <v>85750</v>
      </c>
    </row>
    <row r="42" spans="2:4" ht="15.75" customHeight="1">
      <c r="B42" s="37" t="s">
        <v>77</v>
      </c>
      <c r="C42" s="38">
        <v>41549</v>
      </c>
      <c r="D42" s="38">
        <v>45888</v>
      </c>
    </row>
    <row r="43" spans="2:4" ht="15" customHeight="1">
      <c r="B43" s="39" t="s">
        <v>78</v>
      </c>
      <c r="C43" s="47">
        <f t="shared" si="0"/>
        <v>119877</v>
      </c>
      <c r="D43" s="47">
        <f t="shared" si="0"/>
        <v>131638</v>
      </c>
    </row>
    <row r="44" spans="2:4" ht="15" customHeight="1">
      <c r="B44" s="31" t="s">
        <v>79</v>
      </c>
      <c r="C44" s="35">
        <f t="shared" si="1"/>
        <v>285508</v>
      </c>
      <c r="D44" s="35">
        <f t="shared" si="1"/>
        <v>308030</v>
      </c>
    </row>
    <row r="45" spans="2:4" ht="15.75" customHeight="1">
      <c r="B45" s="36" t="s">
        <v>80</v>
      </c>
      <c r="C45" s="34">
        <v>93568</v>
      </c>
      <c r="D45" s="34">
        <v>83276</v>
      </c>
    </row>
    <row r="46" spans="2:4" ht="15.75" customHeight="1">
      <c r="B46" s="37" t="s">
        <v>81</v>
      </c>
      <c r="C46" s="38">
        <v>-14264</v>
      </c>
      <c r="D46" s="38">
        <v>-19154</v>
      </c>
    </row>
    <row r="47" spans="2:4" ht="15.75" customHeight="1">
      <c r="B47" s="36" t="s">
        <v>82</v>
      </c>
      <c r="C47" s="34">
        <v>-5571</v>
      </c>
      <c r="D47" s="34">
        <v>-7172</v>
      </c>
    </row>
    <row r="48" spans="2:4" ht="15" customHeight="1">
      <c r="B48" s="31" t="s">
        <v>83</v>
      </c>
      <c r="C48" s="35">
        <f t="shared" si="3"/>
        <v>73733</v>
      </c>
      <c r="D48" s="35">
        <f t="shared" si="3"/>
        <v>56950</v>
      </c>
    </row>
    <row r="49" spans="2:4" ht="15" customHeight="1">
      <c r="B49" s="39" t="s">
        <v>84</v>
      </c>
      <c r="C49" s="44">
        <f t="shared" si="4"/>
        <v>359241</v>
      </c>
      <c r="D49" s="44">
        <f t="shared" si="4"/>
        <v>364980</v>
      </c>
    </row>
    <row r="50" spans="2:4" ht="15" customHeight="1">
      <c r="B50" s="46"/>
      <c r="C50" s="46"/>
      <c r="D50" s="46"/>
    </row>
    <row r="51" spans="2:4" ht="15" customHeight="1">
      <c r="B51" s="30" t="s">
        <v>85</v>
      </c>
      <c r="C51" s="30"/>
      <c r="D51" s="30"/>
    </row>
    <row r="52" spans="2:4" ht="15" customHeight="1">
      <c r="B52" s="45" t="s">
        <v>86</v>
      </c>
      <c r="C52" s="46"/>
      <c r="D52" s="46"/>
    </row>
    <row r="53" spans="2:4" ht="15.75" customHeight="1">
      <c r="B53" s="36" t="s">
        <v>8</v>
      </c>
      <c r="C53" s="34">
        <v>112010</v>
      </c>
      <c r="D53" s="34">
        <v>93736</v>
      </c>
    </row>
    <row r="54" spans="2:4" ht="15.75" customHeight="1">
      <c r="B54" s="37" t="s">
        <v>87</v>
      </c>
      <c r="C54" s="38">
        <v>11698</v>
      </c>
      <c r="D54" s="38">
        <v>11445</v>
      </c>
    </row>
    <row r="55" spans="2:4" ht="15.75" customHeight="1">
      <c r="B55" s="36" t="s">
        <v>88</v>
      </c>
      <c r="C55" s="34">
        <v>12863</v>
      </c>
      <c r="D55" s="34">
        <v>11688</v>
      </c>
    </row>
    <row r="56" spans="2:4" ht="15.75" customHeight="1">
      <c r="B56" s="37" t="s">
        <v>89</v>
      </c>
      <c r="C56" s="38">
        <v>-89</v>
      </c>
      <c r="D56" s="38">
        <v>-2266</v>
      </c>
    </row>
    <row r="57" spans="2:4" ht="15.75" customHeight="1">
      <c r="B57" s="36" t="s">
        <v>90</v>
      </c>
      <c r="C57" s="34">
        <v>-7029</v>
      </c>
      <c r="D57" s="34">
        <v>-5144</v>
      </c>
    </row>
    <row r="58" spans="2:4" ht="15.75" customHeight="1">
      <c r="B58" s="37" t="s">
        <v>91</v>
      </c>
      <c r="C58" s="38">
        <v>1400</v>
      </c>
      <c r="D58" s="38">
        <v>-1046</v>
      </c>
    </row>
    <row r="59" spans="2:4" ht="15.75" customHeight="1">
      <c r="B59" s="36" t="s">
        <v>92</v>
      </c>
      <c r="C59" s="34">
        <v>902</v>
      </c>
      <c r="D59" s="34">
        <v>6020</v>
      </c>
    </row>
    <row r="60" spans="2:4" ht="15.75" customHeight="1">
      <c r="B60" s="37" t="s">
        <v>93</v>
      </c>
      <c r="C60" s="38">
        <v>-20273</v>
      </c>
      <c r="D60" s="38">
        <v>3821</v>
      </c>
    </row>
    <row r="61" spans="2:4" ht="15" customHeight="1">
      <c r="B61" s="39" t="s">
        <v>94</v>
      </c>
      <c r="C61" s="47">
        <f t="shared" ref="C61:D61" si="6">SUM(C53:C60)</f>
        <v>111482</v>
      </c>
      <c r="D61" s="47">
        <f t="shared" si="6"/>
        <v>118254</v>
      </c>
    </row>
    <row r="62" spans="2:4" ht="15" customHeight="1">
      <c r="B62" s="45" t="s">
        <v>95</v>
      </c>
      <c r="C62" s="46"/>
      <c r="D62" s="46"/>
    </row>
    <row r="63" spans="2:4" ht="15.75" customHeight="1">
      <c r="B63" s="36" t="s">
        <v>96</v>
      </c>
      <c r="C63" s="34">
        <v>-24407</v>
      </c>
      <c r="D63" s="34">
        <v>-48656</v>
      </c>
    </row>
    <row r="64" spans="2:4" ht="15.75" customHeight="1">
      <c r="B64" s="37" t="s">
        <v>97</v>
      </c>
      <c r="C64" s="38">
        <v>53797</v>
      </c>
      <c r="D64" s="38">
        <v>62346</v>
      </c>
    </row>
    <row r="65" spans="2:4" ht="15.75" customHeight="1">
      <c r="B65" s="36" t="s">
        <v>98</v>
      </c>
      <c r="C65" s="34">
        <v>-12715</v>
      </c>
      <c r="D65" s="34">
        <v>-9447</v>
      </c>
    </row>
    <row r="66" spans="2:4" ht="15.75" customHeight="1">
      <c r="B66" s="37" t="s">
        <v>99</v>
      </c>
      <c r="C66" s="38">
        <v>-1480</v>
      </c>
      <c r="D66" s="38">
        <v>-1308</v>
      </c>
    </row>
    <row r="67" spans="2:4" ht="15" customHeight="1">
      <c r="B67" s="39" t="s">
        <v>100</v>
      </c>
      <c r="C67" s="47">
        <f t="shared" ref="C67:D67" si="7">SUM(C63:C66)</f>
        <v>15195</v>
      </c>
      <c r="D67" s="47">
        <f t="shared" si="7"/>
        <v>2935</v>
      </c>
    </row>
    <row r="68" spans="2:4" ht="15" customHeight="1">
      <c r="B68" s="45" t="s">
        <v>101</v>
      </c>
      <c r="C68" s="46"/>
      <c r="D68" s="46"/>
    </row>
    <row r="69" spans="2:4" ht="15.75" customHeight="1">
      <c r="B69" s="36" t="s">
        <v>102</v>
      </c>
      <c r="C69" s="34">
        <v>-2032</v>
      </c>
      <c r="D69" s="34">
        <v>3960</v>
      </c>
    </row>
    <row r="70" spans="2:4" ht="15.75" customHeight="1">
      <c r="B70" s="37" t="s">
        <v>103</v>
      </c>
      <c r="C70" s="38">
        <v>4481</v>
      </c>
      <c r="D70" s="48">
        <v>0</v>
      </c>
    </row>
    <row r="71" spans="2:4" ht="15.75" customHeight="1">
      <c r="B71" s="36" t="s">
        <v>104</v>
      </c>
      <c r="C71" s="34">
        <v>-10932</v>
      </c>
      <c r="D71" s="34">
        <v>-9958</v>
      </c>
    </row>
    <row r="72" spans="2:4" ht="15.75" customHeight="1">
      <c r="B72" s="37" t="s">
        <v>105</v>
      </c>
      <c r="C72" s="38">
        <v>-96671</v>
      </c>
      <c r="D72" s="38">
        <v>-100390</v>
      </c>
    </row>
    <row r="73" spans="2:4" ht="15.75" customHeight="1">
      <c r="B73" s="36" t="s">
        <v>106</v>
      </c>
      <c r="C73" s="34">
        <v>-15421</v>
      </c>
      <c r="D73" s="34">
        <v>-15234</v>
      </c>
    </row>
    <row r="74" spans="2:4" ht="15.75" customHeight="1">
      <c r="B74" s="37" t="s">
        <v>107</v>
      </c>
      <c r="C74" s="38">
        <v>-111</v>
      </c>
      <c r="D74" s="38">
        <v>-361</v>
      </c>
    </row>
    <row r="75" spans="2:4" ht="15" customHeight="1">
      <c r="B75" s="39" t="s">
        <v>108</v>
      </c>
      <c r="C75" s="47">
        <f t="shared" si="2"/>
        <v>-120686</v>
      </c>
      <c r="D75" s="47">
        <f t="shared" si="2"/>
        <v>-121983</v>
      </c>
    </row>
    <row r="76" spans="2:4" ht="15" customHeight="1">
      <c r="B76" s="46"/>
      <c r="C76" s="46"/>
      <c r="D76" s="46"/>
    </row>
    <row r="77" spans="2:4" ht="15" customHeight="1">
      <c r="B77" s="39" t="s">
        <v>109</v>
      </c>
      <c r="C77" s="40">
        <f t="shared" ref="C77:D77" si="8">C61+C67+C75</f>
        <v>5991</v>
      </c>
      <c r="D77" s="40">
        <f t="shared" si="8"/>
        <v>-794</v>
      </c>
    </row>
    <row r="78" spans="2:4" ht="15.75" customHeight="1">
      <c r="B78" s="49" t="s">
        <v>110</v>
      </c>
      <c r="C78" s="38">
        <v>29943</v>
      </c>
      <c r="D78" s="38">
        <v>30737</v>
      </c>
    </row>
    <row r="79" spans="2:4" ht="15" customHeight="1">
      <c r="B79" s="39" t="s">
        <v>111</v>
      </c>
      <c r="C79" s="44">
        <f t="shared" ref="C79:D79" si="9">C78+C77</f>
        <v>35934</v>
      </c>
      <c r="D79" s="44">
        <f t="shared" si="9"/>
        <v>29943</v>
      </c>
    </row>
    <row r="80" spans="2:4" ht="15" customHeight="1">
      <c r="B80" s="46"/>
      <c r="C80" s="46"/>
      <c r="D80" s="46"/>
    </row>
    <row r="81" spans="2:4" ht="15.75" customHeight="1">
      <c r="B81" s="50" t="s">
        <v>112</v>
      </c>
      <c r="C81" s="50"/>
      <c r="D81" s="50"/>
    </row>
    <row r="82" spans="2:4" ht="15.75" customHeight="1">
      <c r="B82" s="51" t="s">
        <v>113</v>
      </c>
      <c r="C82" s="52">
        <f t="shared" ref="C82:D82" si="10">C61+C65</f>
        <v>98767</v>
      </c>
      <c r="D82" s="52">
        <f t="shared" si="10"/>
        <v>108807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CE65-9FF8-473A-22B4-02284924AAA2}">
  <dimension ref="A1:L41"/>
  <sheetViews>
    <sheetView tabSelected="1" topLeftCell="A4" zoomScale="70" workbookViewId="0">
      <selection activeCell="I25" sqref="I25"/>
    </sheetView>
  </sheetViews>
  <sheetFormatPr defaultColWidth="7.73828125" defaultRowHeight="15" customHeight="1"/>
  <cols>
    <col min="1" max="1" width="24.73828125" customWidth="1"/>
    <col min="5" max="5" width="31.3671875" customWidth="1"/>
    <col min="9" max="9" width="22.515625" customWidth="1"/>
    <col min="10" max="10" width="11.109375" customWidth="1"/>
    <col min="11" max="11" width="24.73828125" customWidth="1"/>
  </cols>
  <sheetData>
    <row r="1" spans="1:12" ht="16.5" customHeight="1">
      <c r="A1" t="s">
        <v>0</v>
      </c>
    </row>
    <row r="3" spans="1:12" ht="27" customHeight="1">
      <c r="A3" s="70" t="s">
        <v>114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53" t="s">
        <v>115</v>
      </c>
    </row>
    <row r="4" spans="1:12" ht="15.75" customHeight="1">
      <c r="A4" s="53" t="s">
        <v>115</v>
      </c>
      <c r="B4" s="53" t="s">
        <v>115</v>
      </c>
      <c r="C4" s="53" t="s">
        <v>115</v>
      </c>
      <c r="D4" s="53" t="s">
        <v>115</v>
      </c>
      <c r="E4" s="53" t="s">
        <v>115</v>
      </c>
      <c r="F4" s="53" t="s">
        <v>115</v>
      </c>
      <c r="G4" s="53" t="s">
        <v>115</v>
      </c>
      <c r="H4" s="53" t="s">
        <v>115</v>
      </c>
      <c r="I4" s="53" t="s">
        <v>115</v>
      </c>
      <c r="J4" s="53" t="s">
        <v>115</v>
      </c>
      <c r="K4" s="53" t="s">
        <v>115</v>
      </c>
      <c r="L4" s="53" t="s">
        <v>115</v>
      </c>
    </row>
    <row r="5" spans="1:12" ht="15.75" customHeight="1">
      <c r="A5" s="71" t="s">
        <v>116</v>
      </c>
      <c r="B5" s="71"/>
      <c r="C5" s="54" t="s">
        <v>115</v>
      </c>
      <c r="D5" s="54" t="s">
        <v>115</v>
      </c>
      <c r="E5" s="71" t="s">
        <v>117</v>
      </c>
      <c r="F5" s="71"/>
      <c r="G5" s="54" t="s">
        <v>115</v>
      </c>
      <c r="H5" s="54" t="s">
        <v>115</v>
      </c>
      <c r="I5" s="71" t="s">
        <v>118</v>
      </c>
      <c r="J5" s="71"/>
      <c r="K5" s="71"/>
      <c r="L5" s="54" t="s">
        <v>115</v>
      </c>
    </row>
    <row r="6" spans="1:12" ht="15.75" customHeight="1">
      <c r="A6" s="55" t="s">
        <v>119</v>
      </c>
      <c r="B6" s="55" t="s">
        <v>120</v>
      </c>
      <c r="C6" s="54" t="s">
        <v>115</v>
      </c>
      <c r="D6" s="54" t="s">
        <v>115</v>
      </c>
      <c r="E6" s="56" t="s">
        <v>121</v>
      </c>
      <c r="F6" s="56" t="s">
        <v>120</v>
      </c>
      <c r="G6" s="54" t="s">
        <v>115</v>
      </c>
      <c r="H6" s="54" t="s">
        <v>115</v>
      </c>
      <c r="I6" s="57" t="s">
        <v>119</v>
      </c>
      <c r="J6" s="79" t="s">
        <v>120</v>
      </c>
      <c r="K6" s="57" t="s">
        <v>122</v>
      </c>
      <c r="L6" s="54" t="s">
        <v>115</v>
      </c>
    </row>
    <row r="7" spans="1:12" ht="15.75" customHeight="1">
      <c r="A7" s="58" t="s">
        <v>123</v>
      </c>
      <c r="B7" s="59" cm="1">
        <f t="array" ref="B7">Financial_Statements!C8</f>
        <v>416161</v>
      </c>
      <c r="C7" s="54" t="s">
        <v>115</v>
      </c>
      <c r="D7" s="54" t="s">
        <v>115</v>
      </c>
      <c r="E7" s="60" t="s">
        <v>124</v>
      </c>
      <c r="F7" s="61">
        <f>(B7-B8)/B7</f>
        <v>0.46905164107160452</v>
      </c>
      <c r="G7" s="54" t="s">
        <v>115</v>
      </c>
      <c r="H7" s="54" t="s">
        <v>115</v>
      </c>
      <c r="I7" s="62" t="s">
        <v>125</v>
      </c>
      <c r="J7" s="80" cm="1">
        <f t="array" ref="J7">B21</f>
        <v>98767</v>
      </c>
      <c r="K7" s="62" t="s">
        <v>126</v>
      </c>
      <c r="L7" s="54" t="s">
        <v>115</v>
      </c>
    </row>
    <row r="8" spans="1:12" ht="15.75" customHeight="1">
      <c r="A8" s="58" t="s">
        <v>127</v>
      </c>
      <c r="B8" s="59">
        <f>-Financial_Statements!C9</f>
        <v>220960</v>
      </c>
      <c r="C8" s="54" t="s">
        <v>115</v>
      </c>
      <c r="D8" s="54" t="s">
        <v>115</v>
      </c>
      <c r="E8" s="60" t="s">
        <v>128</v>
      </c>
      <c r="F8" s="61">
        <f>B9/B7</f>
        <v>0.31970799762591884</v>
      </c>
      <c r="G8" s="54" t="s">
        <v>115</v>
      </c>
      <c r="H8" s="54" t="s">
        <v>115</v>
      </c>
      <c r="I8" s="62" t="s">
        <v>129</v>
      </c>
      <c r="J8" s="81">
        <f>B23+B22*(B24-B23)</f>
        <v>0.16082000000000002</v>
      </c>
      <c r="K8" s="62" t="s">
        <v>130</v>
      </c>
      <c r="L8" s="54" t="s">
        <v>115</v>
      </c>
    </row>
    <row r="9" spans="1:12" ht="28.5" customHeight="1">
      <c r="A9" s="58" t="s">
        <v>51</v>
      </c>
      <c r="B9" s="59" cm="1">
        <f t="array" ref="B9">Financial_Statements!C14</f>
        <v>133050</v>
      </c>
      <c r="C9" s="54" t="s">
        <v>115</v>
      </c>
      <c r="D9" s="54" t="s">
        <v>115</v>
      </c>
      <c r="E9" s="60" t="s">
        <v>131</v>
      </c>
      <c r="F9" s="61">
        <f>B10/B7</f>
        <v>0.26915064121818238</v>
      </c>
      <c r="G9" s="54" t="s">
        <v>115</v>
      </c>
      <c r="H9" s="54" t="s">
        <v>115</v>
      </c>
      <c r="I9" s="62" t="s">
        <v>132</v>
      </c>
      <c r="J9" s="81" cm="1">
        <f t="array" ref="J9">B25</f>
        <v>5.5599999999999997E-2</v>
      </c>
      <c r="K9" s="62" t="s">
        <v>133</v>
      </c>
      <c r="L9" s="54" t="s">
        <v>115</v>
      </c>
    </row>
    <row r="10" spans="1:12" ht="15.75" customHeight="1">
      <c r="A10" s="58" t="s">
        <v>8</v>
      </c>
      <c r="B10" s="59" cm="1">
        <f t="array" ref="B10">Financial_Statements!C18</f>
        <v>112010</v>
      </c>
      <c r="C10" s="54" t="s">
        <v>115</v>
      </c>
      <c r="D10" s="54" t="s">
        <v>115</v>
      </c>
      <c r="E10" s="60" t="s">
        <v>134</v>
      </c>
      <c r="F10" s="61">
        <f>B10/B11</f>
        <v>0.31179625933565491</v>
      </c>
      <c r="G10" s="54" t="s">
        <v>115</v>
      </c>
      <c r="H10" s="54" t="s">
        <v>115</v>
      </c>
      <c r="I10" s="62" t="s">
        <v>135</v>
      </c>
      <c r="J10" s="81">
        <f>ABS(Financial_Statements!C17/Financial_Statements!C16)</f>
        <v>0.15610002335586043</v>
      </c>
      <c r="K10" s="62" t="s">
        <v>136</v>
      </c>
      <c r="L10" s="54" t="s">
        <v>115</v>
      </c>
    </row>
    <row r="11" spans="1:12" ht="15.75" customHeight="1">
      <c r="A11" s="58" t="s">
        <v>68</v>
      </c>
      <c r="B11" s="59" cm="1">
        <f t="array" ref="B11">Financial_Statements!C33</f>
        <v>359241</v>
      </c>
      <c r="C11" s="54" t="s">
        <v>115</v>
      </c>
      <c r="D11" s="54" t="s">
        <v>115</v>
      </c>
      <c r="E11" s="63" t="s">
        <v>137</v>
      </c>
      <c r="F11" s="61">
        <f>B10/B13</f>
        <v>1.5191298333175105</v>
      </c>
      <c r="G11" s="54" t="s">
        <v>115</v>
      </c>
      <c r="H11" s="54" t="s">
        <v>115</v>
      </c>
      <c r="I11" s="73" t="s">
        <v>138</v>
      </c>
      <c r="J11" s="82">
        <f>B19*B20</f>
        <v>3816062.25</v>
      </c>
      <c r="K11" s="73" t="s">
        <v>139</v>
      </c>
      <c r="L11" s="54" t="s">
        <v>115</v>
      </c>
    </row>
    <row r="12" spans="1:12" ht="15.75" customHeight="1">
      <c r="A12" s="58" t="s">
        <v>79</v>
      </c>
      <c r="B12" s="59" cm="1">
        <f t="array" ref="B12">Financial_Statements!C44</f>
        <v>285508</v>
      </c>
      <c r="C12" s="54" t="s">
        <v>115</v>
      </c>
      <c r="D12" s="54" t="s">
        <v>115</v>
      </c>
      <c r="E12" s="60" t="s">
        <v>140</v>
      </c>
      <c r="F12" s="64">
        <f>B10/B19</f>
        <v>7.4598734598734602</v>
      </c>
      <c r="G12" s="54" t="s">
        <v>115</v>
      </c>
      <c r="H12" s="72"/>
      <c r="I12" s="74" t="s">
        <v>141</v>
      </c>
      <c r="J12" s="83" cm="1">
        <f t="array" ref="J12">B26</f>
        <v>98657</v>
      </c>
      <c r="K12" s="74" t="s">
        <v>142</v>
      </c>
      <c r="L12" s="54"/>
    </row>
    <row r="13" spans="1:12" ht="15.75" customHeight="1">
      <c r="A13" s="58" t="s">
        <v>143</v>
      </c>
      <c r="B13" s="59" cm="1">
        <f t="array" ref="B13">Financial_Statements!C48</f>
        <v>73733</v>
      </c>
      <c r="C13" s="54" t="s">
        <v>115</v>
      </c>
      <c r="D13" s="54" t="s">
        <v>115</v>
      </c>
      <c r="E13" s="60" t="s">
        <v>144</v>
      </c>
      <c r="F13" s="65">
        <f>B14/B16</f>
        <v>0.89329292221866674</v>
      </c>
      <c r="G13" s="54" t="s">
        <v>115</v>
      </c>
      <c r="H13" s="72"/>
      <c r="I13" s="74" t="s">
        <v>145</v>
      </c>
      <c r="J13" s="83">
        <f>J11+J12</f>
        <v>3914719.25</v>
      </c>
      <c r="K13" s="74"/>
      <c r="L13" s="54"/>
    </row>
    <row r="14" spans="1:12" ht="15.75" customHeight="1">
      <c r="A14" s="58" t="s">
        <v>146</v>
      </c>
      <c r="B14" s="59" cm="1">
        <f t="array" ref="B14">Financial_Statements!C28</f>
        <v>147957</v>
      </c>
      <c r="C14" s="54" t="s">
        <v>115</v>
      </c>
      <c r="D14" s="54" t="s">
        <v>115</v>
      </c>
      <c r="E14" s="60" t="s">
        <v>147</v>
      </c>
      <c r="F14" s="65">
        <f>(B14-B15)/B16</f>
        <v>0.85877039926100796</v>
      </c>
      <c r="G14" s="54" t="s">
        <v>115</v>
      </c>
      <c r="H14" s="72"/>
      <c r="I14" s="86" t="s">
        <v>148</v>
      </c>
      <c r="J14" s="87">
        <f>(J11/J13)*J8+(J12/J13)*J9*(1-J10)</f>
        <v>0.15794956438543209</v>
      </c>
      <c r="K14" s="86" t="s">
        <v>149</v>
      </c>
      <c r="L14" s="54"/>
    </row>
    <row r="15" spans="1:12" ht="15.75" customHeight="1">
      <c r="A15" s="58" t="s">
        <v>61</v>
      </c>
      <c r="B15" s="59" cm="1">
        <f t="array" ref="B15">Financial_Statements!C26</f>
        <v>5718</v>
      </c>
      <c r="C15" s="54" t="s">
        <v>115</v>
      </c>
      <c r="D15" s="54" t="s">
        <v>115</v>
      </c>
      <c r="E15" s="60" t="s">
        <v>150</v>
      </c>
      <c r="F15" s="65">
        <f>B17/B16</f>
        <v>0.21695214060169896</v>
      </c>
      <c r="G15" s="54" t="s">
        <v>115</v>
      </c>
      <c r="H15" s="72"/>
      <c r="I15" s="74" t="s">
        <v>153</v>
      </c>
      <c r="J15" s="85">
        <f>J7/J14</f>
        <v>625307.20096819347</v>
      </c>
      <c r="K15" s="74" t="s">
        <v>154</v>
      </c>
      <c r="L15" s="54"/>
    </row>
    <row r="16" spans="1:12" ht="15.75" customHeight="1">
      <c r="A16" s="58" t="s">
        <v>151</v>
      </c>
      <c r="B16" s="59" cm="1">
        <f t="array" ref="B16">Financial_Statements!C40</f>
        <v>165631</v>
      </c>
      <c r="C16" s="54" t="s">
        <v>115</v>
      </c>
      <c r="D16" s="54" t="s">
        <v>115</v>
      </c>
      <c r="E16" s="60" t="s">
        <v>152</v>
      </c>
      <c r="F16" s="64">
        <f>B20/F12</f>
        <v>34.068942505133471</v>
      </c>
      <c r="G16" s="54" t="s">
        <v>115</v>
      </c>
      <c r="H16" s="72"/>
      <c r="I16" s="74" t="s">
        <v>157</v>
      </c>
      <c r="J16" s="84" cm="1">
        <f t="array" ref="J16">B19</f>
        <v>15015</v>
      </c>
      <c r="K16" s="74" t="s">
        <v>158</v>
      </c>
      <c r="L16" s="54"/>
    </row>
    <row r="17" spans="1:12" ht="15.75" customHeight="1">
      <c r="A17" s="58" t="s">
        <v>155</v>
      </c>
      <c r="B17" s="59" cm="1">
        <f t="array" ref="B17">Financial_Statements!C22</f>
        <v>35934</v>
      </c>
      <c r="C17" s="54" t="s">
        <v>115</v>
      </c>
      <c r="D17" s="54" t="s">
        <v>115</v>
      </c>
      <c r="E17" s="60" t="s">
        <v>156</v>
      </c>
      <c r="F17" s="61">
        <f>B18/B10</f>
        <v>0.13767520757075261</v>
      </c>
      <c r="G17" s="54" t="s">
        <v>115</v>
      </c>
      <c r="H17" s="72"/>
      <c r="I17" s="86" t="s">
        <v>161</v>
      </c>
      <c r="J17" s="88">
        <f>J15/J16</f>
        <v>41.645501229982912</v>
      </c>
      <c r="K17" s="86" t="s">
        <v>162</v>
      </c>
      <c r="L17" s="54"/>
    </row>
    <row r="18" spans="1:12" ht="15.75" customHeight="1">
      <c r="A18" s="58" t="s">
        <v>159</v>
      </c>
      <c r="B18" s="59">
        <f>-Financial_Statements!C73</f>
        <v>15421</v>
      </c>
      <c r="C18" s="54" t="s">
        <v>115</v>
      </c>
      <c r="D18" s="54" t="s">
        <v>115</v>
      </c>
      <c r="E18" s="60" t="s">
        <v>160</v>
      </c>
      <c r="F18" s="64">
        <f>B12/B13</f>
        <v>3.8721874872852049</v>
      </c>
      <c r="G18" s="54" t="s">
        <v>115</v>
      </c>
      <c r="H18" s="72"/>
      <c r="L18" s="54"/>
    </row>
    <row r="19" spans="1:12" ht="15.75" customHeight="1">
      <c r="A19" s="58" t="s">
        <v>157</v>
      </c>
      <c r="B19" s="66">
        <v>15015</v>
      </c>
      <c r="C19" s="54" t="s">
        <v>115</v>
      </c>
      <c r="D19" s="54" t="s">
        <v>115</v>
      </c>
      <c r="E19" s="63" t="s">
        <v>163</v>
      </c>
      <c r="F19" s="61">
        <f>F11*(1-F17)</f>
        <v>1.3099833181885996</v>
      </c>
      <c r="G19" s="54" t="s">
        <v>115</v>
      </c>
      <c r="H19" s="72"/>
      <c r="I19" s="54"/>
      <c r="J19" s="54"/>
      <c r="K19" s="54"/>
      <c r="L19" s="54"/>
    </row>
    <row r="20" spans="1:12" ht="15.75" customHeight="1">
      <c r="A20" s="58" t="s">
        <v>164</v>
      </c>
      <c r="B20" s="67">
        <v>254.15</v>
      </c>
      <c r="C20" s="54" t="s">
        <v>115</v>
      </c>
      <c r="D20" s="54" t="s">
        <v>115</v>
      </c>
      <c r="E20" s="72"/>
      <c r="F20" s="54"/>
      <c r="G20" s="54"/>
      <c r="H20" s="72"/>
      <c r="I20" s="54"/>
      <c r="J20" s="54"/>
      <c r="K20" s="54"/>
      <c r="L20" s="54"/>
    </row>
    <row r="21" spans="1:12" ht="15.75" customHeight="1">
      <c r="A21" s="58" t="s">
        <v>34</v>
      </c>
      <c r="B21" s="59" cm="1">
        <f t="array" ref="B21">Financial_Statements!C82</f>
        <v>98767</v>
      </c>
      <c r="C21" s="54" t="s">
        <v>115</v>
      </c>
      <c r="D21" s="54" t="s">
        <v>115</v>
      </c>
      <c r="E21" s="72"/>
      <c r="F21" s="54"/>
      <c r="G21" s="54"/>
      <c r="H21" s="72"/>
      <c r="I21" s="54"/>
      <c r="J21" s="54"/>
      <c r="K21" s="54"/>
      <c r="L21" s="54"/>
    </row>
    <row r="22" spans="1:12" ht="15.75" customHeight="1">
      <c r="A22" s="58" t="s">
        <v>165</v>
      </c>
      <c r="B22" s="68">
        <v>1.2</v>
      </c>
      <c r="C22" s="54" t="s">
        <v>115</v>
      </c>
      <c r="D22" s="54" t="s">
        <v>115</v>
      </c>
      <c r="E22" s="72"/>
      <c r="F22" s="54"/>
      <c r="G22" s="54"/>
      <c r="H22" s="72"/>
      <c r="I22" s="54"/>
      <c r="J22" s="54"/>
      <c r="K22" s="54"/>
      <c r="L22" s="54"/>
    </row>
    <row r="23" spans="1:12" ht="15.75" customHeight="1">
      <c r="A23" s="58" t="s">
        <v>166</v>
      </c>
      <c r="B23" s="69">
        <v>2.69E-2</v>
      </c>
      <c r="C23" s="54" t="s">
        <v>115</v>
      </c>
      <c r="D23" s="54" t="s">
        <v>115</v>
      </c>
      <c r="E23" s="72"/>
      <c r="F23" s="54"/>
      <c r="G23" s="54"/>
      <c r="H23" s="72"/>
      <c r="I23" s="54"/>
      <c r="J23" s="54"/>
      <c r="K23" s="54"/>
      <c r="L23" s="54"/>
    </row>
    <row r="24" spans="1:12" ht="15.75" customHeight="1">
      <c r="A24" s="77" t="s">
        <v>167</v>
      </c>
      <c r="B24" s="78">
        <v>0.13850000000000001</v>
      </c>
      <c r="C24" s="54" t="s">
        <v>115</v>
      </c>
      <c r="D24" s="54" t="s">
        <v>115</v>
      </c>
      <c r="E24" s="72"/>
      <c r="F24" s="54"/>
      <c r="G24" s="54"/>
      <c r="H24" s="72"/>
      <c r="I24" s="54"/>
      <c r="J24" s="54"/>
      <c r="K24" s="54"/>
      <c r="L24" s="54"/>
    </row>
    <row r="25" spans="1:12" ht="15.75" customHeight="1">
      <c r="A25" s="74" t="s">
        <v>132</v>
      </c>
      <c r="B25" s="76">
        <v>5.5599999999999997E-2</v>
      </c>
      <c r="C25" s="54" t="s">
        <v>115</v>
      </c>
      <c r="D25" s="54" t="s">
        <v>115</v>
      </c>
      <c r="E25" s="72"/>
      <c r="F25" s="54"/>
      <c r="G25" s="54"/>
      <c r="H25" s="72"/>
      <c r="I25" s="54"/>
      <c r="J25" s="54"/>
      <c r="K25" s="54"/>
      <c r="L25" s="54"/>
    </row>
    <row r="26" spans="1:12" ht="15.75" customHeight="1">
      <c r="A26" s="74" t="s">
        <v>168</v>
      </c>
      <c r="B26" s="75">
        <v>98657</v>
      </c>
      <c r="C26" s="54" t="s">
        <v>115</v>
      </c>
      <c r="D26" s="54" t="s">
        <v>115</v>
      </c>
      <c r="E26" s="72"/>
      <c r="F26" s="54"/>
      <c r="G26" s="54"/>
      <c r="H26" s="72"/>
      <c r="I26" s="54"/>
      <c r="J26" s="54"/>
      <c r="K26" s="54"/>
      <c r="L26" s="54"/>
    </row>
    <row r="27" spans="1:12" ht="15.75" customHeight="1">
      <c r="A27" s="54" t="s">
        <v>115</v>
      </c>
      <c r="B27" s="54" t="s">
        <v>115</v>
      </c>
      <c r="C27" s="54" t="s">
        <v>115</v>
      </c>
      <c r="D27" s="54" t="s">
        <v>115</v>
      </c>
      <c r="E27" s="72"/>
      <c r="F27" s="54"/>
      <c r="G27" s="54"/>
      <c r="H27" s="72"/>
      <c r="I27" s="54"/>
      <c r="J27" s="54"/>
      <c r="K27" s="54"/>
      <c r="L27" s="54"/>
    </row>
    <row r="28" spans="1:12" ht="15.75" customHeight="1">
      <c r="A28" s="54" t="s">
        <v>115</v>
      </c>
      <c r="B28" s="54" t="s">
        <v>115</v>
      </c>
      <c r="C28" s="54" t="s">
        <v>115</v>
      </c>
      <c r="D28" s="54" t="s">
        <v>115</v>
      </c>
      <c r="E28" s="72"/>
      <c r="F28" s="54"/>
      <c r="G28" s="54"/>
      <c r="H28" s="72"/>
      <c r="I28" s="54"/>
      <c r="J28" s="54"/>
      <c r="K28" s="54"/>
      <c r="L28" s="54"/>
    </row>
    <row r="29" spans="1:12" ht="15.75" customHeight="1">
      <c r="A29" s="54" t="s">
        <v>115</v>
      </c>
      <c r="B29" s="54" t="s">
        <v>115</v>
      </c>
      <c r="C29" s="54" t="s">
        <v>115</v>
      </c>
      <c r="D29" s="54" t="s">
        <v>115</v>
      </c>
      <c r="E29" s="72"/>
      <c r="F29" s="54"/>
      <c r="G29" s="54"/>
      <c r="H29" s="54" t="s">
        <v>115</v>
      </c>
      <c r="I29" s="54" t="s">
        <v>115</v>
      </c>
      <c r="J29" s="54" t="s">
        <v>115</v>
      </c>
      <c r="K29" s="54" t="s">
        <v>115</v>
      </c>
      <c r="L29" s="54" t="s">
        <v>115</v>
      </c>
    </row>
    <row r="30" spans="1:12" ht="15.75" customHeight="1">
      <c r="A30" s="54" t="s">
        <v>115</v>
      </c>
      <c r="B30" s="54" t="s">
        <v>115</v>
      </c>
      <c r="C30" s="54" t="s">
        <v>115</v>
      </c>
      <c r="D30" s="54" t="s">
        <v>115</v>
      </c>
      <c r="E30" s="72"/>
      <c r="F30" s="54"/>
      <c r="G30" s="54"/>
      <c r="H30" s="54" t="s">
        <v>115</v>
      </c>
      <c r="I30" s="54" t="s">
        <v>115</v>
      </c>
      <c r="J30" s="54" t="s">
        <v>115</v>
      </c>
      <c r="K30" s="54" t="s">
        <v>115</v>
      </c>
      <c r="L30" s="54" t="s">
        <v>115</v>
      </c>
    </row>
    <row r="31" spans="1:12" ht="15.75" customHeight="1">
      <c r="A31" s="54" t="s">
        <v>115</v>
      </c>
      <c r="B31" s="54" t="s">
        <v>115</v>
      </c>
      <c r="C31" s="54" t="s">
        <v>115</v>
      </c>
      <c r="D31" s="54" t="s">
        <v>115</v>
      </c>
      <c r="E31" s="72"/>
      <c r="F31" s="54"/>
      <c r="G31" s="54"/>
      <c r="H31" s="54" t="s">
        <v>115</v>
      </c>
      <c r="I31" s="54" t="s">
        <v>115</v>
      </c>
      <c r="J31" s="54" t="s">
        <v>115</v>
      </c>
      <c r="K31" s="54" t="s">
        <v>115</v>
      </c>
      <c r="L31" s="54" t="s">
        <v>115</v>
      </c>
    </row>
    <row r="32" spans="1:12" ht="15.75" customHeight="1">
      <c r="A32" s="54" t="s">
        <v>115</v>
      </c>
      <c r="B32" s="54" t="s">
        <v>115</v>
      </c>
      <c r="C32" s="54" t="s">
        <v>115</v>
      </c>
      <c r="D32" s="54" t="s">
        <v>115</v>
      </c>
      <c r="E32" s="72"/>
      <c r="F32" s="54"/>
      <c r="G32" s="54"/>
      <c r="H32" s="54" t="s">
        <v>115</v>
      </c>
      <c r="I32" s="54" t="s">
        <v>115</v>
      </c>
      <c r="J32" s="54" t="s">
        <v>115</v>
      </c>
      <c r="K32" s="54" t="s">
        <v>115</v>
      </c>
      <c r="L32" s="54" t="s">
        <v>115</v>
      </c>
    </row>
    <row r="33" spans="1:12" ht="15.75" customHeight="1">
      <c r="A33" s="54" t="s">
        <v>115</v>
      </c>
      <c r="B33" s="54" t="s">
        <v>115</v>
      </c>
      <c r="C33" s="54" t="s">
        <v>115</v>
      </c>
      <c r="D33" s="54" t="s">
        <v>115</v>
      </c>
      <c r="E33" s="72"/>
      <c r="F33" s="54"/>
      <c r="G33" s="54"/>
      <c r="H33" s="54" t="s">
        <v>115</v>
      </c>
      <c r="I33" s="54" t="s">
        <v>115</v>
      </c>
      <c r="J33" s="54" t="s">
        <v>115</v>
      </c>
      <c r="K33" s="54" t="s">
        <v>115</v>
      </c>
      <c r="L33" s="54" t="s">
        <v>115</v>
      </c>
    </row>
    <row r="34" spans="1:12" ht="15.75" customHeight="1">
      <c r="A34" s="54" t="s">
        <v>115</v>
      </c>
      <c r="B34" s="54" t="s">
        <v>115</v>
      </c>
      <c r="C34" s="54" t="s">
        <v>115</v>
      </c>
      <c r="D34" s="54" t="s">
        <v>115</v>
      </c>
      <c r="E34" s="72"/>
      <c r="F34" s="54"/>
      <c r="G34" s="54"/>
      <c r="H34" s="54" t="s">
        <v>115</v>
      </c>
      <c r="I34" s="54" t="s">
        <v>115</v>
      </c>
      <c r="J34" s="54" t="s">
        <v>115</v>
      </c>
      <c r="K34" s="54" t="s">
        <v>115</v>
      </c>
      <c r="L34" s="54" t="s">
        <v>115</v>
      </c>
    </row>
    <row r="35" spans="1:12" ht="15.75" customHeight="1">
      <c r="A35" s="54" t="s">
        <v>115</v>
      </c>
      <c r="B35" s="54" t="s">
        <v>115</v>
      </c>
      <c r="C35" s="54" t="s">
        <v>115</v>
      </c>
      <c r="D35" s="54" t="s">
        <v>115</v>
      </c>
      <c r="E35" s="72"/>
      <c r="F35" s="54"/>
      <c r="G35" s="54"/>
      <c r="H35" s="54" t="s">
        <v>115</v>
      </c>
      <c r="I35" s="54" t="s">
        <v>115</v>
      </c>
      <c r="J35" s="54" t="s">
        <v>115</v>
      </c>
      <c r="K35" s="54" t="s">
        <v>115</v>
      </c>
      <c r="L35" s="54" t="s">
        <v>115</v>
      </c>
    </row>
    <row r="36" spans="1:12" ht="15.75" customHeight="1">
      <c r="A36" s="54" t="s">
        <v>115</v>
      </c>
      <c r="B36" s="54" t="s">
        <v>115</v>
      </c>
      <c r="C36" s="54" t="s">
        <v>115</v>
      </c>
      <c r="D36" s="54" t="s">
        <v>115</v>
      </c>
      <c r="E36" s="72"/>
      <c r="F36" s="54"/>
      <c r="G36" s="54"/>
      <c r="H36" s="54" t="s">
        <v>115</v>
      </c>
      <c r="I36" s="54" t="s">
        <v>115</v>
      </c>
      <c r="J36" s="54" t="s">
        <v>115</v>
      </c>
      <c r="K36" s="54" t="s">
        <v>115</v>
      </c>
      <c r="L36" s="54" t="s">
        <v>115</v>
      </c>
    </row>
    <row r="37" spans="1:12" ht="15.75" customHeight="1">
      <c r="A37" s="54" t="s">
        <v>115</v>
      </c>
      <c r="B37" s="54" t="s">
        <v>115</v>
      </c>
      <c r="C37" s="54" t="s">
        <v>115</v>
      </c>
      <c r="D37" s="54" t="s">
        <v>115</v>
      </c>
      <c r="E37" s="72"/>
      <c r="F37" s="54"/>
      <c r="G37" s="54"/>
      <c r="H37" s="54" t="s">
        <v>115</v>
      </c>
      <c r="I37" s="54" t="s">
        <v>115</v>
      </c>
      <c r="J37" s="54" t="s">
        <v>115</v>
      </c>
      <c r="K37" s="54" t="s">
        <v>115</v>
      </c>
      <c r="L37" s="54" t="s">
        <v>115</v>
      </c>
    </row>
    <row r="38" spans="1:12" ht="15.75" customHeight="1">
      <c r="A38" s="54" t="s">
        <v>115</v>
      </c>
      <c r="B38" s="54" t="s">
        <v>115</v>
      </c>
      <c r="C38" s="54" t="s">
        <v>115</v>
      </c>
      <c r="D38" s="54" t="s">
        <v>115</v>
      </c>
      <c r="E38" s="72"/>
      <c r="F38" s="54"/>
      <c r="G38" s="54"/>
      <c r="H38" s="54" t="s">
        <v>115</v>
      </c>
      <c r="I38" s="54" t="s">
        <v>115</v>
      </c>
      <c r="J38" s="54" t="s">
        <v>115</v>
      </c>
      <c r="K38" s="54" t="s">
        <v>115</v>
      </c>
      <c r="L38" s="54" t="s">
        <v>115</v>
      </c>
    </row>
    <row r="39" spans="1:12" ht="15.75" customHeight="1">
      <c r="A39" s="54" t="s">
        <v>115</v>
      </c>
      <c r="B39" s="54" t="s">
        <v>115</v>
      </c>
      <c r="C39" s="54" t="s">
        <v>115</v>
      </c>
      <c r="D39" s="54" t="s">
        <v>115</v>
      </c>
      <c r="E39" s="72"/>
      <c r="F39" s="54"/>
      <c r="G39" s="54"/>
      <c r="H39" s="54" t="s">
        <v>115</v>
      </c>
      <c r="I39" s="54" t="s">
        <v>115</v>
      </c>
      <c r="J39" s="54" t="s">
        <v>115</v>
      </c>
      <c r="K39" s="54" t="s">
        <v>115</v>
      </c>
      <c r="L39" s="54" t="s">
        <v>115</v>
      </c>
    </row>
    <row r="40" spans="1:12" ht="15.75" customHeight="1">
      <c r="A40" s="54" t="s">
        <v>115</v>
      </c>
      <c r="B40" s="54" t="s">
        <v>115</v>
      </c>
      <c r="C40" s="54" t="s">
        <v>115</v>
      </c>
      <c r="D40" s="54" t="s">
        <v>115</v>
      </c>
      <c r="E40" s="72"/>
      <c r="F40" s="54"/>
      <c r="G40" s="54"/>
      <c r="H40" s="54" t="s">
        <v>115</v>
      </c>
      <c r="I40" s="54" t="s">
        <v>115</v>
      </c>
      <c r="J40" s="54" t="s">
        <v>115</v>
      </c>
      <c r="K40" s="54" t="s">
        <v>115</v>
      </c>
      <c r="L40" s="54" t="s">
        <v>115</v>
      </c>
    </row>
    <row r="41" spans="1:12" ht="15.75" customHeight="1">
      <c r="A41" s="54" t="s">
        <v>115</v>
      </c>
      <c r="B41" s="54" t="s">
        <v>115</v>
      </c>
      <c r="C41" s="54" t="s">
        <v>115</v>
      </c>
      <c r="D41" s="54" t="s">
        <v>115</v>
      </c>
      <c r="E41" s="72"/>
      <c r="F41" s="54"/>
      <c r="G41" s="54"/>
      <c r="H41" s="54" t="s">
        <v>115</v>
      </c>
      <c r="I41" s="54" t="s">
        <v>115</v>
      </c>
      <c r="J41" s="54" t="s">
        <v>115</v>
      </c>
      <c r="K41" s="54" t="s">
        <v>115</v>
      </c>
      <c r="L41" s="54" t="s">
        <v>115</v>
      </c>
    </row>
  </sheetData>
  <mergeCells count="6">
    <mergeCell ref="A3:K3"/>
    <mergeCell ref="A5:B5"/>
    <mergeCell ref="E5:F5"/>
    <mergeCell ref="I5:K5"/>
    <mergeCell ref="H12:H28"/>
    <mergeCell ref="E20:E41"/>
  </mergeCells>
  <pageMargins left="0.7" right="0.7" top="0.75" bottom="0.75" header="0.3" footer="0.3"/>
  <pageSetup orientation="portrait" r:id="rId1"/>
  <headerFooter>
    <oddHeader>&amp;L&amp;C&amp;R</oddHeader>
    <oddFooter>&amp;L&amp;C&amp;R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Apple_FCF_FY2025</vt:lpstr>
      <vt:lpstr>Financial_Statements</vt:lpstr>
      <vt:lpstr>Financials-2025-Clean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Truc Anh Nguyen</cp:lastModifiedBy>
  <dcterms:created xsi:type="dcterms:W3CDTF">2025-05-22T23:41:35Z</dcterms:created>
  <dcterms:modified xsi:type="dcterms:W3CDTF">2026-04-08T15:14:50Z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f9c1a77c-97a0-4aed-8b53-ba0652f6b286</vt:lpwstr>
  </property>
</Properties>
</file>